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<sst xmlns="http://schemas.openxmlformats.org/spreadsheetml/2006/main" count="407" uniqueCount="212">
  <si>
    <t xml:space="preserve">STT</t>
  </si>
  <si>
    <t xml:space="preserve">TÊN  QUI CÁCH VẬT TƯ</t>
  </si>
  <si>
    <t xml:space="preserve">ĐVT</t>
  </si>
  <si>
    <t xml:space="preserve">XUẤT
XỨ</t>
  </si>
  <si>
    <t xml:space="preserve">THÔNG SỐ KĨ THUẬT</t>
  </si>
  <si>
    <t xml:space="preserve">NHÀ SẢN XUẤT</t>
  </si>
  <si>
    <t xml:space="preserve">ĐƠN GIÁ</t>
  </si>
  <si>
    <t xml:space="preserve">SL</t>
  </si>
  <si>
    <t xml:space="preserve">THÀNH TIỀN</t>
  </si>
  <si>
    <t xml:space="preserve">Van tiết lưu 1 chiều M5 Φ4 (SL4-M5)</t>
  </si>
  <si>
    <t xml:space="preserve">Cái</t>
  </si>
  <si>
    <t xml:space="preserve">Việt Nam</t>
  </si>
  <si>
    <t xml:space="preserve">Đường kính ống (Ø D) 4mm
Ren ngoài (R) M5
Chiều dài ren ngoài (L) 3.5mm
Kích thước (C x EA) 30 x 19mm</t>
  </si>
  <si>
    <t xml:space="preserve">OEM</t>
  </si>
  <si>
    <t xml:space="preserve">CƠ ĐIỆN HẢI ÂU</t>
  </si>
  <si>
    <t xml:space="preserve">Ống khí nén (Loại PU 4x2 mm)  </t>
  </si>
  <si>
    <t xml:space="preserve">Mét</t>
  </si>
  <si>
    <t xml:space="preserve">Khớp nối : Ø4mm
Áp lực vận hành : Max. 231 Psi
Lực tác động : Max. 15 kgf/cm²
Lưu chất : các loại khí
Biên nhiệt : -20 ~ 60ºC
Chất liệu : Polyurethane</t>
  </si>
  <si>
    <t xml:space="preserve">SANG A</t>
  </si>
  <si>
    <t xml:space="preserve">Ống khí nén (Loại 6x4 mm) </t>
  </si>
  <si>
    <t xml:space="preserve">Khớp nối : Ø6mm
Áp lực vận hành : Max. 231 Psi
Lực tác động : Max. 15 kgf/cm²
Lưu chất : các loại khí
Biên nhiệt : -20 ~ 60ºC
Chất liệu : Polyurethane</t>
  </si>
  <si>
    <t xml:space="preserve">Đầu nối thẳng (Loại ren M5 trực tiếp Φ 4mm)</t>
  </si>
  <si>
    <t xml:space="preserve">Kiểu kết nối Ren sang ống 
Cỡ đầu nối A M5 
Cỡ đầu nối B Push In 4 mm 
Loại đầu nối A Đực 
Loại đầu nối B Cái 
Series PC 
Vật liệu thân Đồng</t>
  </si>
  <si>
    <t xml:space="preserve">Đầu nối thẳng (Loại ren M10 trực tiếp Φ 4mm)</t>
  </si>
  <si>
    <t xml:space="preserve">Kiểu kết nối Ren sang ống 
Cỡ đầu nối A M10 
Cỡ đầu nối B Push In 4 mm 
Loại đầu nối A Đực 
Loại đầu nối B Cái 
Series PC 
Vật liệu thân Đồng</t>
  </si>
  <si>
    <r>
      <rPr>
        <sz val="11"/>
        <rFont val="Times New Roman"/>
        <family val="1"/>
        <charset val="1"/>
      </rPr>
      <t xml:space="preserve">Dây điện đơn mềm Vcm 1.5mm</t>
    </r>
    <r>
      <rPr>
        <vertAlign val="superscript"/>
        <sz val="11"/>
        <rFont val="Times New Roman"/>
        <family val="1"/>
        <charset val="1"/>
      </rPr>
      <t xml:space="preserve">2</t>
    </r>
    <r>
      <rPr>
        <sz val="11"/>
        <rFont val="Times New Roman"/>
        <family val="1"/>
        <charset val="1"/>
      </rPr>
      <t xml:space="preserve"> Đỏ</t>
    </r>
  </si>
  <si>
    <t xml:space="preserve">Tiết diện: 1.5mm2, tương đương với đường kính lõi đồng khoảng 1.38mm. 
Ruột dẫn: Đồng nguyên chất, 
Vỏ bọc: PVC (Polyvinyl chloride), có màu đỏ, độ dày khoảng 0.7mm. 
Điện áp danh định: 450/750V. 
Nhiệt độ làm việc tối đa: 70°C. </t>
  </si>
  <si>
    <t xml:space="preserve">CADIVI</t>
  </si>
  <si>
    <t xml:space="preserve">https://codienhaiau.com/product/day-dien-don-mem-cadivi-vcm-0-75-den/</t>
  </si>
  <si>
    <r>
      <rPr>
        <sz val="11"/>
        <rFont val="Times New Roman"/>
        <family val="1"/>
        <charset val="1"/>
      </rPr>
      <t xml:space="preserve">Dây điện đơn mềm Vcm 0.75mm</t>
    </r>
    <r>
      <rPr>
        <vertAlign val="superscript"/>
        <sz val="11"/>
        <rFont val="Times New Roman"/>
        <family val="1"/>
        <charset val="1"/>
      </rPr>
      <t xml:space="preserve">2</t>
    </r>
    <r>
      <rPr>
        <sz val="11"/>
        <rFont val="Times New Roman"/>
        <family val="1"/>
        <charset val="1"/>
      </rPr>
      <t xml:space="preserve"> Đen</t>
    </r>
  </si>
  <si>
    <t xml:space="preserve">Tiết diện dây: 0.75mm2
Mức cách điện: 300/500V
Loại Dây: điện đơn
Chất liệu: Ruột đồng</t>
  </si>
  <si>
    <t xml:space="preserve">Cầu đấu 12 mắt (25A-12P-250V) </t>
  </si>
  <si>
    <t xml:space="preserve">Thanh</t>
  </si>
  <si>
    <t xml:space="preserve">Điện áp :  600V – 25A – 12P (cực)
Mã sản phẩm : TB – 25A/12P
Quy cách : 25 Chiếc/ Hộp
Đáp ứng các yêu cầu kỹ thuật trong công nghiệp.
Có thể thay thế được các loại cầu đấu từ các thương hiệu khác.
Nhựa ABS mang lại độ bền cao. chịu nhiệt tốt.
</t>
  </si>
  <si>
    <t xml:space="preserve">TÂM VIỆT</t>
  </si>
  <si>
    <t xml:space="preserve">https://tamviet.pro/cau-dau-25a-12p/?srsltid=AfmBOor7ThyVP5RvtJR6LOMUhEy3hGWnBfSWA-JrPEH8LTGWVvxQLGic</t>
  </si>
  <si>
    <t xml:space="preserve">Đầu Cốt (Loại Y SV3.2)  (100 Cái)</t>
  </si>
  <si>
    <t xml:space="preserve">Bịch</t>
  </si>
  <si>
    <t xml:space="preserve">Đồng (Cu) nguyên chất đạt tỷ lệ 99.9%.
Bề mặt mạ Thiếc (Sn);
Chất liệu bọc nhựa: Vinyl – màu ĐEN
Cỡ dây cáp phù hợp: 2.5mm2 ~ 4.0mm2</t>
  </si>
  <si>
    <t xml:space="preserve">https://shopee.vn/product/95405680/26409615111?gads_t_sig=VTJGc2RHVmtYMTlxTFVSVVRrdENkUzJYdkg4SUFId3huV3BOemxRSlQvQm5uZEZkR1RzNlFUS1VERHltS3g3eWw0WXl1ZG41TFFoaEhwbmcyanlCcS9UTTRnTE8wdUlhb1Yrd0NUZUFMRFR2c2h2Rm5iSzJlYUlBUnRHdllnT3Q&amp;gad_source=1&amp;gad_campaign</t>
  </si>
  <si>
    <t xml:space="preserve">Máng xương cá 35x35 mm</t>
  </si>
  <si>
    <t xml:space="preserve">Cây</t>
  </si>
  <si>
    <t xml:space="preserve">Chất liệu PVC
Kích thước (HxW) 35×35 mm
Khả năng chứa (tham khảo) 25~30 sợi cáp 2.0 mm2
Tiêu chuẩn RoHS, UL94 V-0
Chiều dài 2 mét/cây</t>
  </si>
  <si>
    <t xml:space="preserve">SINO</t>
  </si>
  <si>
    <t xml:space="preserve">https://vnecco.com/mang-nhua-35x35-dai-2-met-cn?gad_source=1&amp;gad_campaignid=10907929415&amp;gbraid=0AAAAAC6WZJOPWnAl0kgUd2BvAH0zrEjQn&amp;gclid=CjwKCAiAvaLLBhBFEiwAYCNTf6AmqnzadrHuzDWaRjoREsuKpD60ep0rxW_vRU1rIvpvXrbVEKneehoCoIwQAvD_BwE</t>
  </si>
  <si>
    <t xml:space="preserve">Công tắc 2 chấu  (Loại SMT051 SUNMAX)</t>
  </si>
  <si>
    <t xml:space="preserve">Chiếc</t>
  </si>
  <si>
    <t xml:space="preserve">Loại: Công tắc cơ học 
Wif:i Không Wifi 
Số kênh điều khiển: 1 
Đèn LED: Không LED 
Hình dáng: Chữ nhật</t>
  </si>
  <si>
    <t xml:space="preserve">https://dientutuyetnga.com/products/cong-tac-2-chau</t>
  </si>
  <si>
    <t xml:space="preserve">Công tắc 3 chấu  (Loại SMT052 SUNMAX)</t>
  </si>
  <si>
    <t xml:space="preserve">Mặt 4 công tắc (Loại SMT003 SUNMAX)</t>
  </si>
  <si>
    <t xml:space="preserve">Mặt 4 công tắc S184/X Sino :
-Loại : 4 công tắc
-Kiểu : mặt 4 lỗ
-Màu : trắng
-Kích thước : 70mm x 120mm
-Đóng gói : 25 cái /hộp
-Nhà sx :   Sino –Vanlock</t>
  </si>
  <si>
    <t xml:space="preserve">https://thietbidienphunguyen.com/san-pham/thiet-bi-dien/mat-4-cong-tac-s184-x-sino.html</t>
  </si>
  <si>
    <t xml:space="preserve">Mặt 1 công tắc và 1 ổ cắm (Loại SMT002 SUNMAX)</t>
  </si>
  <si>
    <t xml:space="preserve">Mặt ổ đơn + 1 công tắc S18UX Sino    
-Mã số : S18UX
-Loại : 1 công tắc, 1 ổ cắm
-Kiểu : mặt 1 lỗ + 1 ổ gắn liền mặt
-Màu : trắng
-Kích thước : 70mm x 120mm
-Đóng gói : 10 cái /hộp
-Nhà sx :   Sino –Vanlock</t>
  </si>
  <si>
    <t xml:space="preserve">https://thietbidienphunguyen.com/san-pham/thiet-bi-dien/mat-o-don-1-cong-tac-s18ux-sino.html</t>
  </si>
  <si>
    <t xml:space="preserve">Băng keo cách điện (Loại 5MILx3/4''x20Y)</t>
  </si>
  <si>
    <t xml:space="preserve">Cuộn</t>
  </si>
  <si>
    <t xml:space="preserve">Xuất xứ: Việt Nam
Chất liệu: PVC
Bề ngang: 3/4 inch
Chiều dài 20Ya</t>
  </si>
  <si>
    <t xml:space="preserve">NANO</t>
  </si>
  <si>
    <t xml:space="preserve">https://kamytools.com/bang-keo-dien-nano-to-nga-dung-5milx3-4-x20y-ban-le-1-cuon?srsltid=AfmBOoqgdWzgWYRtMz2hfP_cOcHbhIgD7h3KP_j6w5tCS1dq-lAQlFLQ</t>
  </si>
  <si>
    <t xml:space="preserve">Dây điện đôi mềm Vcm 2x1.0 mm2 đỏ</t>
  </si>
  <si>
    <t xml:space="preserve">Tiết diện dây: 1mm2
Mức cách điện: 0.6/1KV
Loại Dây: điện đôi
Chất liệu: Ruột đồng</t>
  </si>
  <si>
    <t xml:space="preserve">https://codienhaiau.com/product/day-dien-doi-cadivi-vcmd-2x1-do/</t>
  </si>
  <si>
    <t xml:space="preserve">Phim cách điện (Loại 290x210x0.2mm)</t>
  </si>
  <si>
    <t xml:space="preserve">Ống gen cách điện sợi thủy tinh (Đường kính: 1 mm)</t>
  </si>
  <si>
    <t xml:space="preserve">Loại Ống Gen Chịu Nhiệt 
Đường kính 1mm 
Màu sắc Trắng &amp; đỏ 
Điện áp chịu đựng 1KV 
Nhiệt độ chịu đựng 105℃ 
Vật liệu Sợi thủy tinh 
Chiều rộng dẹp 1.6mm</t>
  </si>
  <si>
    <t xml:space="preserve">https://www.thegioiic.com/ong-gen-chiu-nhiet-1mm</t>
  </si>
  <si>
    <t xml:space="preserve">Dây đai ny lông d 1mm</t>
  </si>
  <si>
    <t xml:space="preserve">Cuộn chỉ đai đa công dụng
Dùng trong gia đình, sửa chữa, cơ khí,..
Trọng lượng 200g</t>
  </si>
  <si>
    <t xml:space="preserve">https://shopee.vn/product/18667217/2180819310?gads_t_sig=VTJGc2RHVmtYMTlxTFVSVVRrdENkZExrZG1KbGNQZ3dJbEMwUStXSm5ZcUdKQlRaTFBlc2xxNjkrTGMwQ3RoTXp1NzlHQk5xODVPMUtIUnZRMVFPTWRyclZyRS85UlJxUFBqYmdjdXBFb1NwUUFYR2FoWjdqTVNKRjFVaFR3N0g&amp;gad_source=1&amp;gad_campaigni</t>
  </si>
  <si>
    <t xml:space="preserve">Ống gen cách điện sợi thủy tinh (Đường kính: 3 mm)</t>
  </si>
  <si>
    <t xml:space="preserve">Ống gen cách điện sợi thủy tinh (Đường kính: 5 mm)</t>
  </si>
  <si>
    <t xml:space="preserve">Dây ê may d 0.35mm</t>
  </si>
  <si>
    <t xml:space="preserve">Kg</t>
  </si>
  <si>
    <t xml:space="preserve">Chất liệu: Đồng nguyên chất
Lớp phủ: Sơn cách điện chịu nhiệt
Đường kính dây: , 0.3mm,
Màu sắc: Đồng đỏ bóng</t>
  </si>
  <si>
    <t xml:space="preserve">https://shopee.vn/D%C3%A2y-%C4%91%E1%BB%93ng-ch%E1%BB%8Bu-nhi%E1%BB%87t-220-%C4%91%E1%BB%99-h%C3%A3ng-KCT-0.5kg-D%C3%A2y-%C4%91i%E1%BB%87n-t%E1%BB%AB-220-%C4%91%E1%BB%99-D%C3%A2y-%C4%91%E1%BB%93ng-cu%E1%BB%91n-%C4%91%E1%BB%99ng-c%C6%A1-i.152727804.21560664131</t>
  </si>
  <si>
    <t xml:space="preserve">Dây ê may d 0,5mm</t>
  </si>
  <si>
    <t xml:space="preserve">Pin tiểu 1.5V</t>
  </si>
  <si>
    <t xml:space="preserve">Cặp</t>
  </si>
  <si>
    <t xml:space="preserve">Volts: 1.5V
Kích cỡ: size AAA
Kích thước: 10x42mm</t>
  </si>
  <si>
    <t xml:space="preserve">PANASONIC</t>
  </si>
  <si>
    <t xml:space="preserve">https://nhandaithanh.com/products/bo-2-pin-aaa-than-tieu-den-panasonic-neo-r03nt-2s-v9?ref=haraads&amp;utm_campaign=haraads&amp;utm_medium=paid&amp;utm_source=google&amp;gad_source=1&amp;gad_campaignid=22259962467&amp;gbraid=0AAAAADuztKadsLeGkjMonMPdwc1bfmMMV&amp;gclid=CjwKCAiAvaLLB</t>
  </si>
  <si>
    <t xml:space="preserve">Giấy cách điện (Loại 0.5mm)</t>
  </si>
  <si>
    <t xml:space="preserve">https://linhkienquynhdien.com/giay-xanh-giay-cach-dien-day-0-1mm</t>
  </si>
  <si>
    <t xml:space="preserve">Led phát quang (Loại led 5mm) </t>
  </si>
  <si>
    <t xml:space="preserve">Con</t>
  </si>
  <si>
    <t xml:space="preserve">Màu LED: Đỏ 
Loại: 5mm 
Màu lens: Trong suốt 
Kiểu lens: Đầu bằng 
Chiều dài: Dài 
Số chân: 2</t>
  </si>
  <si>
    <t xml:space="preserve">https://www.thegioiic.com/led-do-5mm-dau-bang-trong-suot</t>
  </si>
  <si>
    <t xml:space="preserve">Điện trở 100K (ROHS)</t>
  </si>
  <si>
    <t xml:space="preserve">Nhiệt độ hoạt động: -55oC – 155oC
Linh kiện xuyên lỗ: 0.5mm
Loại: Điện trở cố định</t>
  </si>
  <si>
    <t xml:space="preserve">https://dientunhattung.com/san-pham/dien-tro-100k-1-4w-5-mau-dien-tro-1-4w-10con/</t>
  </si>
  <si>
    <t xml:space="preserve">Điện trở 10K (ROHS)</t>
  </si>
  <si>
    <t xml:space="preserve"> Model: 10K Ohm - 1/2W
Nhiệt độ hoạt động: -55oC  - 150o C
 Linh kiện xuyên lỗ: 0.5mm
Loại: Điện trở cố định
Sai số: 1%</t>
  </si>
  <si>
    <t xml:space="preserve">https://robocon.vn/detail/dt43-dien-tro-cam-10k-ohm-10kr-12w.html</t>
  </si>
  <si>
    <t xml:space="preserve">Điện trở 1K (ROHS)</t>
  </si>
  <si>
    <t xml:space="preserve">Giá trị điện trở 1 KOhm 
Sai số 5% 
Công suất 0.25W, 1/4W 
công nghệ Carbon Film 
Nhiệt độ max +155°C 
Nhiệt độ min -55°C</t>
  </si>
  <si>
    <t xml:space="preserve">https://www.thegioiic.com/dien-tro-1-kohm-1-4w-5-4-vong-mau</t>
  </si>
  <si>
    <t xml:space="preserve">Điện trở 330 (ROHS)</t>
  </si>
  <si>
    <t xml:space="preserve">Model: 330 R 1/4W
Nhiệt độ hoạt động: -55oC – 155oC
Linh kiện xuyên lỗ: 0.5mm
Loại: Điện trở cố định</t>
  </si>
  <si>
    <t xml:space="preserve">https://icdayroi.com/dien-tro-330-ohm-1-4w-goi-50-con</t>
  </si>
  <si>
    <t xml:space="preserve">Điện trở 4.7K (ROHS)</t>
  </si>
  <si>
    <t xml:space="preserve">Giá trị điện trở 4.7 KOhm 
Sai số 5% 
Công suất 0.25W, 1/4W 
Công nghệ Carbon Film 
Nhiệt độ max +155°C 
Nhiệt độ min -55°C</t>
  </si>
  <si>
    <t xml:space="preserve">Điện trở 47K (ROHS)</t>
  </si>
  <si>
    <t xml:space="preserve">Giá trị điện trở 47 KOhm 
Sai số 5% 
Công suất 0.5W, 1/2W 
Công nghệ Carbon Film 
Nhiệt độ max +155°C 
Nhiệt độ min -55°C</t>
  </si>
  <si>
    <t xml:space="preserve">IC   17555 (Hitachi)</t>
  </si>
  <si>
    <t xml:space="preserve">Con </t>
  </si>
  <si>
    <t xml:space="preserve">Điện áp cấp 4.5V ~ 16V 
Dòng cung cấp 10 mA 
Nhiệt độ hoạt động -20°C ~ 70°C 
Kiểu chân Xuyên lỗ 
Số chân 8 
Kiểu đóng gói DIP</t>
  </si>
  <si>
    <t xml:space="preserve">HITACHI</t>
  </si>
  <si>
    <t xml:space="preserve">https://www.thegioiic.com/ha17555-ic-precision-timer-8-dip</t>
  </si>
  <si>
    <t xml:space="preserve">IC   74LS00 (Hitachi)</t>
  </si>
  <si>
    <t xml:space="preserve">Điện áp cung cấp (Vcc): 4.75V đến 5.25V (điển hình 5V)
Dòng tiêu thụ (Icc): 4mA
Thời gian trễ truyền: Khoảng 10ns
Tần số hoạt động tối đa: Lên đến 35 MHz
Mức điện áp logic:
Mức logic thấp: 0V đến 0.8V
Mức logic cao: 2V đến 5V
Dải nhiệt độ hoạt động: 0°C đến +70°C</t>
  </si>
  <si>
    <t xml:space="preserve">https://dientutuonglai.com/ic-74ls00-dip14.html</t>
  </si>
  <si>
    <t xml:space="preserve">IC   74LS08 (Hitachi)</t>
  </si>
  <si>
    <t xml:space="preserve">Dải điện áp hoạt động: +4.75 đến + 5.25V
Điện áp hoạt động được đề xuất: + 5V
Điện áp nguồn tối đa: 7V
Dòng điện tối đa được phép rút qua mỗi đầu ra cổng: 8mA
Đầu ra TTL
Tiêu thụ ít điện năng
Thời gian tăng điển hình: 18ns
Thời gian giảm điển hình: 18ns
Nhiệt độ hoạt động: 0 ° C đến 70 ° C
Nhiệt độ bảo quản: -65 ° C đến 150 ° C</t>
  </si>
  <si>
    <t xml:space="preserve">https://www.linhkienchatluong.vn/urlic-ho-74---ic-logic/74ls08-sn74ls08n-dip-14-chinh-hang-ti_sp550_ct2228.aspx</t>
  </si>
  <si>
    <t xml:space="preserve">IC   74LS164 (Hitachi)</t>
  </si>
  <si>
    <t xml:space="preserve">Điện áp cung cấp: 4.5V ~ 5.5V
Dải nhiệt độ hoạt động: 0 ~ 70oC
Nhiệt độ lưu trữ: -55 ~ 150oC
Dòng điện ra mức cao: IOH = 400uA
Dòng điện ra mức thấp: IOL = 8mA</t>
  </si>
  <si>
    <t xml:space="preserve">https://www.thegioiic.com/74ls164-ic-shift-register-1-element-8-bit-push-pull-14-soic</t>
  </si>
  <si>
    <t xml:space="preserve">IC   74LS86 (Hitachi)</t>
  </si>
  <si>
    <t xml:space="preserve">VCC (Tối thiểu): 4,75V
VCC (Tối đa): 5,25V
Số kênh: 4Đầu vào mỗi kênh: 2
OL (Tối đa): 16mA
IOH (Tối đa) -0,8mA
Loại đầu vào: TTL-CMOS tương thích
Loại đầu ra: Đẩy-Kéo</t>
  </si>
  <si>
    <t xml:space="preserve">https://dientunhattung.com/san-pham/ic-so-sn74ls86-cong-xor-ic-cong-logic-2-input-dip/</t>
  </si>
  <si>
    <t xml:space="preserve">IC   4017 (Hitachi)</t>
  </si>
  <si>
    <t xml:space="preserve">Chân 16
Số cổng ra trong ic 10
Điện áp hoạt động 3V – 18V DC
Dòng ngõ ra 10mA
Nhiệt độ hoạt động -55°C – 125°C
Mức logic 0 hoặc 1</t>
  </si>
  <si>
    <t xml:space="preserve">https://dientutuyetnga.com/products/nhan-ban-cua-ic-dan-4013</t>
  </si>
  <si>
    <t xml:space="preserve">IC  74LS93 (Hitachi)</t>
  </si>
  <si>
    <t xml:space="preserve">Mã sản phẩm: 74LS93
Loại đếm: Nhị phân 4 bit
Cấu trúc đếm: 1 mod-2 và 1 mod-8 (2 + 3 bit)
Đầu vào clock: CP1, CP0
Đầu ra: Q0, Q1, Q2, Q3
Tín hiệu điều khiển: Reset R01, R02
Điện áp hoạt động: 4.75V – 5.25V (TTL)
Dòng ra tối đa: ~8mA
Tần số hoạt động tối đa: ~32 MHz
Vỏ IC: DIP14
Nhiệt độ hoạt động: 0°C đến +70°C</t>
  </si>
  <si>
    <t xml:space="preserve">IC  74LS112 (Hitachi)</t>
  </si>
  <si>
    <t xml:space="preserve">Họ công nghệ: LS
IC gói JK Flip Flop kép
VCC (Tối thiểu): 4,75V
VCC (Tối đa): 5,25
Số bit (#): 2
Điện áp hoạt động (Nom): 5V
Tần số ở điện áp bình thường (Tối đa): 35MHz
Độ trễ lan truyền (Tối đa): 20ns
IOL (Tối đa): 8mA
IOH (Tối đa): - 0,4mA</t>
  </si>
  <si>
    <t xml:space="preserve">Rờ le bán dẫn 1 pha (FOTEX) Ngõ vào DC/ Ngõ ra AC</t>
  </si>
  <si>
    <t xml:space="preserve">Số pha của tải 1 pha
Điện áp ngõ vào 3...32VDC
Điện áp tải 90...480VAC
Dòng điện tải 40A
Đặc điểm chuyển mạch Zero-cross
Tản nhiệt (Bán riêng) HS-100H, HS-150H, HS-200H, HS-50H
Loại Rơ le bán dẫn cho thiết bị gia nhiệt
Tích hợp tản nhiệt KhônG</t>
  </si>
  <si>
    <t xml:space="preserve">TAIWAN</t>
  </si>
  <si>
    <t xml:space="preserve">https://baa.vn/vn/san-pham/ro-le-ban-dan-cho-thiet-bi-gia-nhiet-fotek-ssr-40da-h_489142</t>
  </si>
  <si>
    <t xml:space="preserve">Đế cắm chân IC 8 chân </t>
  </si>
  <si>
    <t xml:space="preserve">Số chân 8 
Loại chân Chân vuông 
Kiểu chân Xuyên lỗ 
Khoảng cách chân 2.54mm 
Cách gắn mạch Hàn 
Vật liệu tiếp điểm Đồng 
Mạ tiếp điểm Thiếc 
Dòng điện định mức 1A 
Điện áp định mức 60 V ac</t>
  </si>
  <si>
    <t xml:space="preserve">https://www.thegioiic.com/de-ic-8-chan-vuong-hep-hai-hang-1a-60vac</t>
  </si>
  <si>
    <t xml:space="preserve">Đế cắm chân IC 14 chân </t>
  </si>
  <si>
    <t xml:space="preserve">Số chân 14 
Loại chân Chân vuông 
Kiểu chân Xuyên lỗ 
Khoảng cách chân 2.54mm 
Cách gắn mạch Hàn 
Vật liệu tiếp điểm Đồng 
Mạ tiếp điểm Thiếc 
Dòng điện định mức 1A 
Điện áp định mức 60 V ac</t>
  </si>
  <si>
    <t xml:space="preserve">Đế cắm chân IC 16 chân </t>
  </si>
  <si>
    <t xml:space="preserve">Khoảng cách chân : 2.54mm
Khoảng cách 2 hàng chân : 7.62mm</t>
  </si>
  <si>
    <t xml:space="preserve">https://dientutuyetnga.com/products/de-ic-16-chan-vuong-dip16</t>
  </si>
  <si>
    <t xml:space="preserve">Board cắm linh kiện  (KT:175x67x8mm,  Import)</t>
  </si>
  <si>
    <t xml:space="preserve">Kích thước: 175x67x8MM</t>
  </si>
  <si>
    <t xml:space="preserve">https://dientutuonglai.com/board-test-gl-no-12-175-67-9mm.html</t>
  </si>
  <si>
    <t xml:space="preserve">Dây cắm Breadboard đực đực 20 mm 60 sợi</t>
  </si>
  <si>
    <t xml:space="preserve">Bó</t>
  </si>
  <si>
    <t xml:space="preserve">Một bó có 65 sợi dây cắm đực đực.
Nhiều màu và kích thước khác nhau.</t>
  </si>
  <si>
    <t xml:space="preserve">https://caka.vn/day-cam-test-board-nhieu-kich-co-65-soi-duc-duc</t>
  </si>
  <si>
    <t xml:space="preserve">Board cắm linh kiện (Loại 165x54mm, 840 lỗ)</t>
  </si>
  <si>
    <t xml:space="preserve">Số điểm (lỗ): 840 lỗ (bao gồm 640 lỗ cho khu vực kết nối linh kiện và 200 lỗ cho các đường cấp nguồn) 
Kích thước: 165 x 54 x 8.5 mm
Chất liệu: Nhựa ABS trắng, có độ bền cao và cách điện tốt 
Tiếp điểm: Lá đồng mạ niken, cho độ đàn hồi và khả năng dẫn điện ổn định 
Cố định: Mặt dưới thường có lớp băng dính hai mặt để dán cố định lên các bề mặt phẳng </t>
  </si>
  <si>
    <t xml:space="preserve">https://icdayroi.com/de-test-board-bread-board-165x54mm</t>
  </si>
  <si>
    <t xml:space="preserve">Thiếc hàn (cuộn 800g)</t>
  </si>
  <si>
    <t xml:space="preserve">Loại Không chì 
Đường kính dây 0.6mm 
Thành phần Sn99.3/Cu0.7 
Trọng lượng 800G</t>
  </si>
  <si>
    <t xml:space="preserve">https://www.thegioiic.com/thiec-han-0-6-sn99-3-cu0-7-800g-xty</t>
  </si>
  <si>
    <t xml:space="preserve">Tụ điện (Loại 1mF, EPCOS)</t>
  </si>
  <si>
    <t xml:space="preserve">Phân loại: TỤ HÓA-                           Thương hiệu: EPCOS
 Dung lượng tụ: 1000uF 
Điện áp đánh thủng: 450V
 Kich thước: đường kính 30mm, chiều cao 70mm
 Màu sắc: Màu đen</t>
  </si>
  <si>
    <t xml:space="preserve">https://linhkienthanhcong.com/tu-hoa-epcos-1000uf-450v-30x70mm</t>
  </si>
  <si>
    <t xml:space="preserve">Tụ điện  (Loại 47mF, EPCOS)</t>
  </si>
  <si>
    <t xml:space="preserve">Giá trị tụ điện:   4700uF
Điện áp tối đa:  35V
Loại: Điện dung cố định
Tụ phân cực
Điện dung được ghi chính xác trên thân của tụ, ngoài ra còn có nhiệt độ hoạt động tối đa của tụ</t>
  </si>
  <si>
    <t xml:space="preserve">https://www.thegioiic.com/tu-hoa-4700uf-35v-18x32mm-xuyen-lo</t>
  </si>
  <si>
    <t xml:space="preserve">Nút nhấn reset 10x10mm (ENCOM)</t>
  </si>
  <si>
    <t xml:space="preserve">Kích thước: 10mm x 10mm.
Loại: Nhấn nhả (Momentary/Nút đề), tức là nhả tay là nút trở về vị trí cũ.</t>
  </si>
  <si>
    <t xml:space="preserve">https://dientukhaidinh.com/cong-tac-nut-nhan-nha-reset-5-huong-da-dung-10x10mm-6p-10p-nhieu-kieu-dang-kde8582</t>
  </si>
  <si>
    <t xml:space="preserve">IC 7414 (Hitachi)</t>
  </si>
  <si>
    <t xml:space="preserve">Nhiệt độ làm việc từ -40 đến 125 độ C
 Số chân : 14
 Kiểu đóng gói: DIP14
Điện áp cung cấp:5-6V
Mức logic vào thấp: &lt;1,8V
Mức logic vào cao:&gt;3,2V</t>
  </si>
  <si>
    <t xml:space="preserve">https://chipn24.com/dip-ic-7414-74hc14-dip-14-74hc14n-ic-cong-not-schitt-trigger-6-cong-not-id769.html</t>
  </si>
  <si>
    <t xml:space="preserve">IC 7432 (Hitachi)</t>
  </si>
  <si>
    <t xml:space="preserve">Số chân: 14
Số cổng OR trong ic4
Điện áp hoạt động2V – 6V DC
Dòng ngõ ra5.2mA
Nhiệt độ hoạt động-40°C – 125°C
Mức logic0 hoặc 1</t>
  </si>
  <si>
    <t xml:space="preserve">https://banlinhkiendientu.vn/sn74hc14n/?gad_source=1&amp;gad_campaignid=8191264750&amp;gbraid=0AAAAADlkY95EJF2S_JNRu012I94DBRoEm&amp;gclid=CjwKCAiAvaLLBhBFEiwAYCNTf-OWjCrvjfL2p0OgPLMszOOdqy4xo9lOb5s5xYZ0pFRCPupdgznbWRoCGjQQAvD_BwE</t>
  </si>
  <si>
    <t xml:space="preserve">IC 7474 (Hitachi)</t>
  </si>
  <si>
    <t xml:space="preserve">Trung Quốc</t>
  </si>
  <si>
    <t xml:space="preserve">Gói IC Flip Flop D kép
Điện áp hoạt động: 2V đến 15V
Độ trễ truyền: 40nS
Điện áp đầu vào mức cao tối thiểu: 2 V
Điện áp đầu vào mức thấp tối đa: 0,8V
Nhiệt độ hoạt động: 0 đến 70 ° C
Dòng điện đầu ra mức cao: 8mA</t>
  </si>
  <si>
    <t xml:space="preserve">https://dientutuonglai.com/ic-74ls74-dip14.html</t>
  </si>
  <si>
    <t xml:space="preserve">Biến trở nhỏ (Loai biến trở 100k)</t>
  </si>
  <si>
    <t xml:space="preserve">Điện trở danh định: 100 kΩ
Công suất định mức: 0.1W.
Sai số điện trở: ±20%.
Nhiệt độ hoạt động: -10°C đến +70°C.
Kích thước: Khoảng 6.5mm x 6.5mm x 5mm (dài x rộng x cao).
Góc xoay điều chỉnh: Khoảng 200-300°, tùy thuộc vào thiết kế cụ thể.
Loại đóng gói: Loại nằm ngang, thường có 3 chân hàn (DIP).</t>
  </si>
  <si>
    <t xml:space="preserve">https://banlinhkiendientu.vn/chiet-ap-tinh-chinh-rm065-100k/?gad_source=1&amp;gad_campaignid=8191264750&amp;gbraid=0AAAAADlkY95EJF2S_JNRu012I94DBRoEm&amp;gclid=CjwKCAiAvaLLBhBFEiwAYCNTf3oIpJae7liJJ5udUxF0B4m7nrXWalE1r_poT8AXhYZQG339yEFeVRoCsG8QAvD_BwE</t>
  </si>
  <si>
    <t xml:space="preserve">Xăng  (xăng thơm)</t>
  </si>
  <si>
    <t xml:space="preserve">Lít</t>
  </si>
  <si>
    <t xml:space="preserve">https://hoachatvietlong.vn/san-pham/xang-pha-son-sat-ma-kem-son-dau-son-epoxy/</t>
  </si>
  <si>
    <t xml:space="preserve">Cồn 90 độ (VP - 500ml)</t>
  </si>
  <si>
    <t xml:space="preserve">VĨNH PHÚC</t>
  </si>
  <si>
    <t xml:space="preserve">https://nhathuoclongchau.com.vn/trang-thiet-bi-y-te/con-90-do-vp-500ml-18093.html</t>
  </si>
  <si>
    <t xml:space="preserve">Diode (Loại 1N4007)</t>
  </si>
  <si>
    <t xml:space="preserve">Mã linh kiện: 1N4007
Dòng tải tối đa: 1A
Điện áp ngược cực đại (VRRM): 1000V
Điện áp rơi tiếp (VF): khoảng 0.7V
Kiểu chân: Chân xuyên lỗ (DO-41)
Nhiệt độ hoạt động: -65°C đến +150°C</t>
  </si>
  <si>
    <t xml:space="preserve">https://linhkienchatluong.vn/diode-chinh-luu/1n4007-diode-chinh-luu-1a-1000v-chan-to-07x58mm-chinh-hang-mic-10c_sp572_ct6892.aspx</t>
  </si>
  <si>
    <t xml:space="preserve">Transistor A1013</t>
  </si>
  <si>
    <t xml:space="preserve">Kiểu chỉ định: A1013
Vật liệu transitor: Si
Phân cực: PNP
Công suất tiêu tán tối đa Pc: 0,9 W
Điện áp cực đại Collector-Base Vcb: 160 V
Điện áp cực đại Collector-Emitter Vce: 160 V
Điện áp cực đại Emitter-Base Veb: 6 V
Dòng Collector tối đa Ic max: 1 A
Nhiệt độ hoạt động mối nối tối đa (Tj): 150 ° C</t>
  </si>
  <si>
    <t xml:space="preserve">https://linhkienchatluong.vn/ic-on-ap/a1013-2sa1013-pnp-transistor-1a-160v-sot-89-chinh-hang-jcet_sp1000_ct17052.aspx</t>
  </si>
  <si>
    <t xml:space="preserve">Transistor D468</t>
  </si>
  <si>
    <t xml:space="preserve">https://banlinhkiendientu.vn/a1013/?srsltid=AfmBOoqfbV33DalIewNgdgNc45C6BXlejizux0ChPgajlXVVU3EK8M1g</t>
  </si>
  <si>
    <t xml:space="preserve">Ống đồng  Φ6mm dạng cuộn:  độ dày 0,7mm</t>
  </si>
  <si>
    <t xml:space="preserve">Đường kính ngoài: 6.35/12.7 mm
 Chiều dài: 15 mét
 Đi kèm gen đôi cách nhiệt trắng
 Ứng dụng: lắp máy lạnh dân dụng 1.5HP - 2.0HP</t>
  </si>
  <si>
    <t xml:space="preserve">http://kimloaimau.net/cuon-ong-dong-do-phi-6.35x0.71mm-8367</t>
  </si>
  <si>
    <t xml:space="preserve">Ống đồng  Φ10mm dạng cuộn:  độ dày 0,7mm</t>
  </si>
  <si>
    <t xml:space="preserve">Đường kính ngoài: 9.52mm (tương đương 3/8 inch)
Độ dày ống: Từ 0.5mm đến 1.0mm (tùy nhu cầu sử dụng)
Chiều dài mỗi cuộn: 15 mét
Xuất xứ: Trung Quốc
Chất liệu: Đồng nguyên chất ≥ 99.9%</t>
  </si>
  <si>
    <t xml:space="preserve">https://vattunganhlanh.vn/thong-tin-san-pham/ong-dong-thai-lan-phi-10-cuon-15m/</t>
  </si>
  <si>
    <t xml:space="preserve">Ống đồng  Φ12mm dạng cuộn:  độ dày 0,7mm</t>
  </si>
  <si>
    <t xml:space="preserve">Thành phần: 99,97% là Cu
- Đường kính ngoài: 12.7 mm
- Chiều dài: 15 mét
- Ứng dụng: lắp máy lạnh dân dụng 2.0HP - 2.5HP</t>
  </si>
  <si>
    <t xml:space="preserve">https://vattudienlanhgiare.net/san-pham/Ong-dong-may-lanh-phi-12-Luvata-LHCT-1343.html</t>
  </si>
  <si>
    <t xml:space="preserve">Ty nạp gas máy lạnh</t>
  </si>
  <si>
    <t xml:space="preserve">Chức năng chính: Nạp gas cho tủ lạnh, điều hòa, máy lạnh
Chất liệu: Kim loại
Kích thước/Trọng lượng: Nhỏ gọn, nhẹ
Màu sắc: Bạc</t>
  </si>
  <si>
    <t xml:space="preserve">https://dienmayhaianh.vn/san-pham/ti-nap-gas-lanh-3172.html</t>
  </si>
  <si>
    <t xml:space="preserve">Ống mao tủ lạnh 1/6HP</t>
  </si>
  <si>
    <t xml:space="preserve">Mét </t>
  </si>
  <si>
    <t xml:space="preserve">Công suất máy: 1/6 HP (Horsepower).
Dung tích tủ lạnh tương ứng: 160 - 180 lít.
Đường kính trong (ID): Khoảng 1.8mm (hoặc 1/8 inch
Vật liệu: Đồng (Cáp đồng).</t>
  </si>
  <si>
    <t xml:space="preserve">https://lanh.com.vn/san-pham/tiet-luu-cap-ong-mao/</t>
  </si>
  <si>
    <t xml:space="preserve">Khí Oxy nạp vào chai loại áp suất 250bar; 49kg, 50 lít</t>
  </si>
  <si>
    <t xml:space="preserve">Khí butan (Gas đốt bình loại 12kg)</t>
  </si>
  <si>
    <t xml:space="preserve">Khí Nitơ nạp vào chai loại áp suất 250bar; 49kg, 50 lít)</t>
  </si>
  <si>
    <t xml:space="preserve">Tổng </t>
  </si>
  <si>
    <t xml:space="preserve">VAT 8%</t>
  </si>
  <si>
    <t xml:space="preserve">Giá sau Thuế VAT</t>
  </si>
</sst>
</file>

<file path=xl/styles.xml><?xml version="1.0" encoding="utf-8"?>
<styleSheet xmlns="http://schemas.openxmlformats.org/spreadsheetml/2006/main">
  <numFmts count="7">
    <numFmt numFmtId="164" formatCode="General"/>
    <numFmt numFmtId="165" formatCode="0%"/>
    <numFmt numFmtId="166" formatCode="@"/>
    <numFmt numFmtId="167" formatCode="#,##0"/>
    <numFmt numFmtId="168" formatCode="_(* #,##0_);_(* \(#,##0\);_(* \-_);_(@_)"/>
    <numFmt numFmtId="169" formatCode="0"/>
    <numFmt numFmtId="170" formatCode="_-* #,##0\ _₫_-;\-* #,##0\ _₫_-;_-* &quot;- &quot;_₫_-;_-@_-"/>
  </numFmts>
  <fonts count="17">
    <font>
      <sz val="11"/>
      <color theme="1"/>
      <name val="Calibri"/>
      <family val="2"/>
      <charset val="1"/>
    </font>
    <font>
      <sz val="10"/>
      <name val="Arial"/>
      <family val="0"/>
    </font>
    <font>
      <sz val="10"/>
      <name val="Arial"/>
      <family val="0"/>
    </font>
    <font>
      <sz val="10"/>
      <name val="Arial"/>
      <family val="0"/>
    </font>
    <font>
      <sz val="10"/>
      <name val="Arial"/>
      <family val="2"/>
      <charset val="163"/>
    </font>
    <font>
      <sz val="10"/>
      <name val="Arial"/>
      <family val="2"/>
      <charset val="1"/>
    </font>
    <font>
      <sz val="11"/>
      <color theme="1"/>
      <name val="Calibri"/>
      <family val="2"/>
      <charset val="163"/>
    </font>
    <font>
      <b val="true"/>
      <sz val="12"/>
      <name val="Times New Roman"/>
      <family val="1"/>
      <charset val="1"/>
    </font>
    <font>
      <sz val="11"/>
      <name val="Times New Roman"/>
      <family val="1"/>
      <charset val="1"/>
    </font>
    <font>
      <sz val="12"/>
      <name val="Times New Roman"/>
      <family val="1"/>
      <charset val="1"/>
    </font>
    <font>
      <vertAlign val="superscript"/>
      <sz val="11"/>
      <name val="Times New Roman"/>
      <family val="1"/>
      <charset val="1"/>
    </font>
    <font>
      <u val="single"/>
      <sz val="11"/>
      <color theme="10"/>
      <name val="Calibri"/>
      <family val="2"/>
      <charset val="1"/>
    </font>
    <font>
      <sz val="10.5"/>
      <name val="Arial"/>
      <family val="0"/>
      <charset val="134"/>
    </font>
    <font>
      <b val="true"/>
      <sz val="10"/>
      <name val="Times New Roman"/>
      <family val="1"/>
      <charset val="1"/>
    </font>
    <font>
      <sz val="10"/>
      <name val="Times New Roman"/>
      <family val="1"/>
      <charset val="1"/>
    </font>
    <font>
      <b val="true"/>
      <sz val="10.5"/>
      <name val="Times New Roman"/>
      <family val="1"/>
      <charset val="1"/>
    </font>
    <font>
      <b val="true"/>
      <i val="true"/>
      <sz val="12"/>
      <name val="Times New Roman"/>
      <family val="1"/>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4" fontId="7" fillId="2" borderId="1" xfId="23" applyFont="true" applyBorder="true" applyAlignment="true" applyProtection="false">
      <alignment horizontal="center" vertical="center" textRotation="0" wrapText="false" indent="0" shrinkToFit="false"/>
      <protection locked="true" hidden="false"/>
    </xf>
    <xf numFmtId="164" fontId="7" fillId="2" borderId="1" xfId="23" applyFont="true" applyBorder="true" applyAlignment="true" applyProtection="false">
      <alignment horizontal="center" vertical="center" textRotation="0" wrapText="true" indent="0" shrinkToFit="false"/>
      <protection locked="true" hidden="false"/>
    </xf>
    <xf numFmtId="166" fontId="7" fillId="2" borderId="1" xfId="23" applyFont="true" applyBorder="true" applyAlignment="true" applyProtection="false">
      <alignment horizontal="left" vertical="center" textRotation="0" wrapText="true" indent="0" shrinkToFit="false"/>
      <protection locked="true" hidden="false"/>
    </xf>
    <xf numFmtId="167" fontId="7" fillId="2" borderId="1" xfId="23" applyFont="true" applyBorder="true" applyAlignment="true" applyProtection="false">
      <alignment horizontal="center" vertical="center" textRotation="0" wrapText="true" indent="0" shrinkToFit="false"/>
      <protection locked="true" hidden="false"/>
    </xf>
    <xf numFmtId="164" fontId="8" fillId="0" borderId="1" xfId="21" applyFont="true" applyBorder="true" applyAlignment="true" applyProtection="false">
      <alignment horizontal="center" vertical="center" textRotation="0" wrapText="false" indent="0" shrinkToFit="false"/>
      <protection locked="true" hidden="false"/>
    </xf>
    <xf numFmtId="164" fontId="8" fillId="0" borderId="1" xfId="25" applyFont="true" applyBorder="true" applyAlignment="true" applyProtection="false">
      <alignment horizontal="general" vertical="center" textRotation="0" wrapText="true" indent="0" shrinkToFit="false"/>
      <protection locked="true" hidden="false"/>
    </xf>
    <xf numFmtId="164" fontId="8" fillId="0" borderId="1" xfId="25"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left" vertical="center" textRotation="0" wrapText="true" indent="0" shrinkToFit="false"/>
      <protection locked="true" hidden="false"/>
    </xf>
    <xf numFmtId="168" fontId="8" fillId="2" borderId="1" xfId="0" applyFont="true" applyBorder="true" applyAlignment="true" applyProtection="false">
      <alignment horizontal="left" vertical="center" textRotation="0" wrapText="false" indent="0" shrinkToFit="false"/>
      <protection locked="true" hidden="false"/>
    </xf>
    <xf numFmtId="169" fontId="8" fillId="2"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8" fillId="0" borderId="1" xfId="25"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true" applyProtection="false">
      <alignment horizontal="left" vertical="center" textRotation="0" wrapText="false" indent="0" shrinkToFit="false"/>
      <protection locked="true" hidden="false"/>
    </xf>
    <xf numFmtId="166" fontId="8"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2" borderId="1" xfId="21" applyFont="true" applyBorder="true" applyAlignment="true" applyProtection="false">
      <alignment horizontal="left" vertical="center" textRotation="0" wrapText="true" indent="0" shrinkToFit="false"/>
      <protection locked="true" hidden="false"/>
    </xf>
    <xf numFmtId="164" fontId="8" fillId="2" borderId="1" xfId="21"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true" applyProtection="false">
      <alignment horizontal="left"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8" fillId="2" borderId="1" xfId="21" applyFont="true" applyBorder="true" applyAlignment="true" applyProtection="false">
      <alignment horizontal="left" vertical="center" textRotation="0" wrapText="false" indent="0" shrinkToFit="false"/>
      <protection locked="true" hidden="false"/>
    </xf>
    <xf numFmtId="164" fontId="8" fillId="2" borderId="1" xfId="21"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6" fontId="12" fillId="0"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70" fontId="8" fillId="2" borderId="1" xfId="22" applyFont="true" applyBorder="true" applyAlignment="true" applyProtection="false">
      <alignment horizontal="center" vertical="center" textRotation="0" wrapText="true" indent="0" shrinkToFit="false"/>
      <protection locked="true" hidden="false"/>
    </xf>
    <xf numFmtId="166" fontId="8" fillId="2" borderId="1" xfId="22" applyFont="true" applyBorder="true" applyAlignment="true" applyProtection="false">
      <alignment horizontal="left" vertical="center" textRotation="0" wrapText="true" indent="0" shrinkToFit="false"/>
      <protection locked="true" hidden="false"/>
    </xf>
    <xf numFmtId="170" fontId="8" fillId="0" borderId="1" xfId="22"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left" vertical="center" textRotation="0" wrapText="true" indent="0" shrinkToFit="false"/>
      <protection locked="true" hidden="false"/>
    </xf>
    <xf numFmtId="170" fontId="8" fillId="0" borderId="1" xfId="22"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70" fontId="8" fillId="2" borderId="1" xfId="22"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1" xfId="24" applyFont="true" applyBorder="true" applyAlignment="true" applyProtection="false">
      <alignment horizontal="left" vertical="center" textRotation="0" wrapText="true" indent="0" shrinkToFit="false"/>
      <protection locked="true" hidden="false"/>
    </xf>
    <xf numFmtId="164" fontId="8" fillId="2" borderId="1" xfId="24" applyFont="true" applyBorder="true" applyAlignment="true" applyProtection="false">
      <alignment horizontal="center" vertical="center" textRotation="0" wrapText="false" indent="0" shrinkToFit="false"/>
      <protection locked="true" hidden="false"/>
    </xf>
    <xf numFmtId="164" fontId="8" fillId="2" borderId="1" xfId="24" applyFont="true" applyBorder="true" applyAlignment="true" applyProtection="false">
      <alignment horizontal="general" vertical="center" textRotation="0" wrapText="true" indent="0" shrinkToFit="false"/>
      <protection locked="true" hidden="false"/>
    </xf>
    <xf numFmtId="164" fontId="8" fillId="2" borderId="1" xfId="24" applyFont="true" applyBorder="true" applyAlignment="true" applyProtection="false">
      <alignment horizontal="general" vertical="center" textRotation="0" wrapText="false" indent="0" shrinkToFit="false"/>
      <protection locked="true" hidden="false"/>
    </xf>
    <xf numFmtId="164" fontId="8" fillId="0" borderId="1" xfId="24" applyFont="true" applyBorder="true" applyAlignment="true" applyProtection="false">
      <alignment horizontal="general" vertical="center" textRotation="0" wrapText="true" indent="0" shrinkToFit="false"/>
      <protection locked="true" hidden="false"/>
    </xf>
    <xf numFmtId="164" fontId="8" fillId="2" borderId="1" xfId="24" applyFont="true" applyBorder="true" applyAlignment="true" applyProtection="false">
      <alignment horizontal="center" vertical="center" textRotation="0" wrapText="true" indent="0" shrinkToFit="false"/>
      <protection locked="true" hidden="false"/>
    </xf>
    <xf numFmtId="164" fontId="8" fillId="0" borderId="1" xfId="22" applyFont="true" applyBorder="true" applyAlignment="true" applyProtection="false">
      <alignment horizontal="justify" vertical="center" textRotation="0" wrapText="true" indent="0" shrinkToFit="false"/>
      <protection locked="true" hidden="false"/>
    </xf>
    <xf numFmtId="164" fontId="8" fillId="2" borderId="1" xfId="26" applyFont="true" applyBorder="true" applyAlignment="true" applyProtection="false">
      <alignment horizontal="center" vertical="center" textRotation="0" wrapText="true" indent="0" shrinkToFit="false"/>
      <protection locked="true" hidden="false"/>
    </xf>
    <xf numFmtId="164" fontId="13" fillId="0" borderId="1" xfId="21" applyFont="true" applyBorder="true" applyAlignment="true" applyProtection="false">
      <alignment horizontal="center" vertical="center" textRotation="0" wrapText="false" indent="0" shrinkToFit="false"/>
      <protection locked="true" hidden="false"/>
    </xf>
    <xf numFmtId="164" fontId="14" fillId="2" borderId="1" xfId="24" applyFont="true" applyBorder="true" applyAlignment="true" applyProtection="false">
      <alignment horizontal="center" vertical="center" textRotation="0" wrapText="false" indent="0" shrinkToFit="false"/>
      <protection locked="true" hidden="false"/>
    </xf>
    <xf numFmtId="166" fontId="14" fillId="2" borderId="1" xfId="24" applyFont="true" applyBorder="true" applyAlignment="true" applyProtection="false">
      <alignment horizontal="left" vertical="center" textRotation="0" wrapText="false" indent="0" shrinkToFit="false"/>
      <protection locked="true" hidden="false"/>
    </xf>
    <xf numFmtId="168" fontId="14" fillId="2" borderId="1" xfId="0" applyFont="true" applyBorder="true" applyAlignment="true" applyProtection="false">
      <alignment horizontal="right" vertical="center" textRotation="0" wrapText="false" indent="0" shrinkToFit="false"/>
      <protection locked="true" hidden="false"/>
    </xf>
    <xf numFmtId="169" fontId="14"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4" fontId="15" fillId="0" borderId="1" xfId="21" applyFont="true" applyBorder="true" applyAlignment="true" applyProtection="false">
      <alignment horizontal="center" vertical="center" textRotation="0" wrapText="false" indent="0" shrinkToFit="false"/>
      <protection locked="true" hidden="false"/>
    </xf>
    <xf numFmtId="164" fontId="15" fillId="2" borderId="1" xfId="27" applyFont="true" applyBorder="true" applyAlignment="true" applyProtection="false">
      <alignment horizontal="center" vertical="center" textRotation="0" wrapText="true" indent="0" shrinkToFit="false"/>
      <protection locked="true" hidden="false"/>
    </xf>
    <xf numFmtId="166" fontId="15" fillId="2" borderId="1" xfId="27" applyFont="true" applyBorder="true" applyAlignment="true" applyProtection="false">
      <alignment horizontal="left" vertical="center" textRotation="0" wrapText="true" indent="0" shrinkToFit="false"/>
      <protection locked="true" hidden="false"/>
    </xf>
    <xf numFmtId="167" fontId="15" fillId="2" borderId="1" xfId="28" applyFont="true" applyBorder="true" applyAlignment="true" applyProtection="true">
      <alignment horizontal="right" vertical="center" textRotation="0" wrapText="false" indent="0" shrinkToFit="false"/>
      <protection locked="true" hidden="false"/>
    </xf>
    <xf numFmtId="167" fontId="15" fillId="2" borderId="1" xfId="28" applyFont="true" applyBorder="true" applyAlignment="true" applyProtection="true">
      <alignment horizontal="center" vertical="center" textRotation="0" wrapText="false" indent="0" shrinkToFit="false"/>
      <protection locked="true" hidden="false"/>
    </xf>
    <xf numFmtId="167" fontId="15" fillId="2" borderId="1" xfId="22" applyFont="true" applyBorder="true" applyAlignment="true" applyProtection="false">
      <alignment horizontal="center" vertical="center" textRotation="0" wrapText="true" indent="0" shrinkToFit="false"/>
      <protection locked="true" hidden="false"/>
    </xf>
    <xf numFmtId="164" fontId="7" fillId="2" borderId="1" xfId="23" applyFont="true" applyBorder="true" applyAlignment="true" applyProtection="false">
      <alignment horizontal="center" vertical="bottom" textRotation="0" wrapText="false" indent="0" shrinkToFit="false"/>
      <protection locked="true" hidden="false"/>
    </xf>
    <xf numFmtId="164" fontId="7" fillId="2" borderId="1" xfId="23" applyFont="true" applyBorder="true" applyAlignment="false" applyProtection="false">
      <alignment horizontal="general" vertical="bottom" textRotation="0" wrapText="false" indent="0" shrinkToFit="false"/>
      <protection locked="true" hidden="false"/>
    </xf>
    <xf numFmtId="164" fontId="16" fillId="2" borderId="1" xfId="23" applyFont="true" applyBorder="true" applyAlignment="false" applyProtection="false">
      <alignment horizontal="general" vertical="bottom" textRotation="0" wrapText="false" indent="0" shrinkToFit="false"/>
      <protection locked="true" hidden="false"/>
    </xf>
    <xf numFmtId="166" fontId="16" fillId="2" borderId="1" xfId="23" applyFont="true" applyBorder="true" applyAlignment="true" applyProtection="false">
      <alignment horizontal="left" vertical="bottom" textRotation="0" wrapText="false" indent="0" shrinkToFit="false"/>
      <protection locked="true" hidden="false"/>
    </xf>
    <xf numFmtId="167" fontId="16" fillId="2" borderId="1" xfId="23" applyFont="true" applyBorder="true" applyAlignment="true" applyProtection="false">
      <alignment horizontal="general" vertical="bottom" textRotation="0" wrapText="false" indent="0" shrinkToFit="false"/>
      <protection locked="true" hidden="false"/>
    </xf>
    <xf numFmtId="164" fontId="16" fillId="2" borderId="1" xfId="23" applyFont="true" applyBorder="true" applyAlignment="tru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2 2 2" xfId="22"/>
    <cellStyle name="Normal 4 2" xfId="23"/>
    <cellStyle name="Normal 4 3 2" xfId="24"/>
    <cellStyle name="Normal 5" xfId="25"/>
    <cellStyle name="Normal 5 2 2" xfId="26"/>
    <cellStyle name="Normal 6" xfId="27"/>
    <cellStyle name="Percent 5" xfId="28"/>
    <cellStyle name="*unknown*" xfId="20" builtinId="8"/>
  </cellStyles>
  <dxfs count="3">
    <dxf>
      <font>
        <color rgb="FF9C0006"/>
      </font>
      <fill>
        <patternFill>
          <bgColor rgb="FFFFC7CE"/>
        </patternFill>
      </fill>
    </dxf>
    <dxf>
      <fill>
        <patternFill>
          <bgColor theme="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odienhaiau.com/product/day-dien-don-mem-cadivi-vcm-0-75-den/" TargetMode="External"/><Relationship Id="rId2" Type="http://schemas.openxmlformats.org/officeDocument/2006/relationships/hyperlink" Target="https://codienhaiau.com/product/day-dien-don-mem-cadivi-vcm-0-75-den/" TargetMode="External"/><Relationship Id="rId3" Type="http://schemas.openxmlformats.org/officeDocument/2006/relationships/hyperlink" Target="https://tamviet.pro/cau-dau-25a-12p/?srsltid=AfmBOor7ThyVP5RvtJR6LOMUhEy3hGWnBfSWA-JrPEH8LTGWVvxQLGic" TargetMode="External"/><Relationship Id="rId4" Type="http://schemas.openxmlformats.org/officeDocument/2006/relationships/hyperlink" Target="https://shopee.vn/product/95405680/26409615111?gads_t_sig=VTJGc2RHVmtYMTlxTFVSVVRrdENkUzJYdkg4SUFId3huV3BOemxRSlQvQm5uZEZkR1RzNlFUS1VERHltS3g3eWw0WXl1ZG41TFFoaEhwbmcyanlCcS9UTTRnTE8wdUlhb1Yrd0NUZUFMRFR2c2h2Rm5iSzJlYUlBUnRHdllnT3Q&amp;gad_source=1&amp;gad_campaign" TargetMode="External"/><Relationship Id="rId5" Type="http://schemas.openxmlformats.org/officeDocument/2006/relationships/hyperlink" Target="https://vnecco.com/mang-nhua-35x35-dai-2-met-cn?gad_source=1&amp;gad_campaignid=10907929415&amp;gbraid=0AAAAAC6WZJOPWnAl0kgUd2BvAH0zrEjQn&amp;gclid=CjwKCAiAvaLLBhBFEiwAYCNTf6AmqnzadrHuzDWaRjoREsuKpD60ep0rxW_vRU1rIvpvXrbVEKneehoCoIwQAvD_BwE" TargetMode="External"/><Relationship Id="rId6" Type="http://schemas.openxmlformats.org/officeDocument/2006/relationships/hyperlink" Target="https://dientutuyetnga.com/products/cong-tac-2-chau" TargetMode="External"/><Relationship Id="rId7" Type="http://schemas.openxmlformats.org/officeDocument/2006/relationships/hyperlink" Target="https://dientutuyetnga.com/products/cong-tac-2-chau" TargetMode="External"/><Relationship Id="rId8" Type="http://schemas.openxmlformats.org/officeDocument/2006/relationships/hyperlink" Target="https://thietbidienphunguyen.com/san-pham/thiet-bi-dien/mat-4-cong-tac-s184-x-sino.html" TargetMode="External"/><Relationship Id="rId9" Type="http://schemas.openxmlformats.org/officeDocument/2006/relationships/hyperlink" Target="https://thietbidienphunguyen.com/san-pham/thiet-bi-dien/mat-o-don-1-cong-tac-s18ux-sino.html" TargetMode="External"/><Relationship Id="rId10" Type="http://schemas.openxmlformats.org/officeDocument/2006/relationships/hyperlink" Target="https://kamytools.com/bang-keo-dien-nano-to-nga-dung-5milx3-4-x20y-ban-le-1-cuon?srsltid=AfmBOoqgdWzgWYRtMz2hfP_cOcHbhIgD7h3KP_j6w5tCS1dq-lAQlFLQ" TargetMode="External"/><Relationship Id="rId11" Type="http://schemas.openxmlformats.org/officeDocument/2006/relationships/hyperlink" Target="https://codienhaiau.com/product/day-dien-doi-cadivi-vcmd-2x1-do/" TargetMode="External"/><Relationship Id="rId12" Type="http://schemas.openxmlformats.org/officeDocument/2006/relationships/hyperlink" Target="https://www.thegioiic.com/ong-gen-chiu-nhiet-1mm" TargetMode="External"/><Relationship Id="rId13" Type="http://schemas.openxmlformats.org/officeDocument/2006/relationships/hyperlink" Target="https://shopee.vn/product/18667217/2180819310?gads_t_sig=VTJGc2RHVmtYMTlxTFVSVVRrdENkZExrZG1KbGNQZ3dJbEMwUStXSm5ZcUdKQlRaTFBlc2xxNjkrTGMwQ3RoTXp1NzlHQk5xODVPMUtIUnZRMVFPTWRyclZyRS85UlJxUFBqYmdjdXBFb1NwUUFYR2FoWjdqTVNKRjFVaFR3N0g&amp;gad_source=1&amp;gad_campaigni" TargetMode="External"/><Relationship Id="rId14" Type="http://schemas.openxmlformats.org/officeDocument/2006/relationships/hyperlink" Target="https://www.thegioiic.com/ong-gen-chiu-nhiet-1mm" TargetMode="External"/><Relationship Id="rId15" Type="http://schemas.openxmlformats.org/officeDocument/2006/relationships/hyperlink" Target="https://www.thegioiic.com/ong-gen-chiu-nhiet-1mm" TargetMode="External"/><Relationship Id="rId16" Type="http://schemas.openxmlformats.org/officeDocument/2006/relationships/hyperlink" Target="https://nhandaithanh.com/products/bo-2-pin-aaa-than-tieu-den-panasonic-neo-r03nt-2s-v9?ref=haraads&amp;utm_campaign=haraads&amp;utm_medium=paid&amp;utm_source=google&amp;gad_source=1&amp;gad_campaignid=22259962467&amp;gbraid=0AAAAADuztKadsLeGkjMonMPdwc1bfmMMV&amp;gclid=CjwKCAiAvaLLB" TargetMode="External"/><Relationship Id="rId17" Type="http://schemas.openxmlformats.org/officeDocument/2006/relationships/hyperlink" Target="https://linhkienquynhdien.com/giay-xanh-giay-cach-dien-day-0-1mm" TargetMode="External"/><Relationship Id="rId18" Type="http://schemas.openxmlformats.org/officeDocument/2006/relationships/hyperlink" Target="https://www.thegioiic.com/led-do-5mm-dau-bang-trong-suot" TargetMode="External"/><Relationship Id="rId19" Type="http://schemas.openxmlformats.org/officeDocument/2006/relationships/hyperlink" Target="https://dientunhattung.com/san-pham/dien-tro-100k-1-4w-5-mau-dien-tro-1-4w-10con/" TargetMode="External"/><Relationship Id="rId20" Type="http://schemas.openxmlformats.org/officeDocument/2006/relationships/hyperlink" Target="https://robocon.vn/detail/dt43-dien-tro-cam-10k-ohm-10kr-12w.html" TargetMode="External"/><Relationship Id="rId21" Type="http://schemas.openxmlformats.org/officeDocument/2006/relationships/hyperlink" Target="https://www.thegioiic.com/dien-tro-1-kohm-1-4w-5-4-vong-mau" TargetMode="External"/><Relationship Id="rId22" Type="http://schemas.openxmlformats.org/officeDocument/2006/relationships/hyperlink" Target="https://icdayroi.com/dien-tro-330-ohm-1-4w-goi-50-con" TargetMode="External"/><Relationship Id="rId23" Type="http://schemas.openxmlformats.org/officeDocument/2006/relationships/hyperlink" Target="https://www.thegioiic.com/ha17555-ic-precision-timer-8-dip" TargetMode="External"/><Relationship Id="rId24" Type="http://schemas.openxmlformats.org/officeDocument/2006/relationships/hyperlink" Target="https://dientutuonglai.com/ic-74ls00-dip14.html" TargetMode="External"/><Relationship Id="rId25" Type="http://schemas.openxmlformats.org/officeDocument/2006/relationships/hyperlink" Target="https://www.linhkienchatluong.vn/urlic-ho-74---ic-logic/74ls08-sn74ls08n-dip-14-chinh-hang-ti_sp550_ct2228.aspx" TargetMode="External"/><Relationship Id="rId26" Type="http://schemas.openxmlformats.org/officeDocument/2006/relationships/hyperlink" Target="https://www.thegioiic.com/74ls164-ic-shift-register-1-element-8-bit-push-pull-14-soic" TargetMode="External"/><Relationship Id="rId27" Type="http://schemas.openxmlformats.org/officeDocument/2006/relationships/hyperlink" Target="https://dientunhattung.com/san-pham/ic-so-sn74ls86-cong-xor-ic-cong-logic-2-input-dip/" TargetMode="External"/><Relationship Id="rId28" Type="http://schemas.openxmlformats.org/officeDocument/2006/relationships/hyperlink" Target="https://dientutuyetnga.com/products/nhan-ban-cua-ic-dan-4013" TargetMode="External"/><Relationship Id="rId29" Type="http://schemas.openxmlformats.org/officeDocument/2006/relationships/hyperlink" Target="https://dientutuyetnga.com/products/nhan-ban-cua-ic-dan-4013" TargetMode="External"/><Relationship Id="rId30" Type="http://schemas.openxmlformats.org/officeDocument/2006/relationships/hyperlink" Target="https://dientutuyetnga.com/products/nhan-ban-cua-ic-dan-4013" TargetMode="External"/><Relationship Id="rId31" Type="http://schemas.openxmlformats.org/officeDocument/2006/relationships/hyperlink" Target="https://baa.vn/vn/san-pham/ro-le-ban-dan-cho-thiet-bi-gia-nhiet-fotek-ssr-40da-h_489142" TargetMode="External"/><Relationship Id="rId32" Type="http://schemas.openxmlformats.org/officeDocument/2006/relationships/hyperlink" Target="https://www.thegioiic.com/de-ic-8-chan-vuong-hep-hai-hang-1a-60vac" TargetMode="External"/><Relationship Id="rId33" Type="http://schemas.openxmlformats.org/officeDocument/2006/relationships/hyperlink" Target="https://www.thegioiic.com/de-ic-8-chan-vuong-hep-hai-hang-1a-60vac" TargetMode="External"/><Relationship Id="rId34" Type="http://schemas.openxmlformats.org/officeDocument/2006/relationships/hyperlink" Target="https://dientutuyetnga.com/products/de-ic-16-chan-vuong-dip16" TargetMode="External"/><Relationship Id="rId35" Type="http://schemas.openxmlformats.org/officeDocument/2006/relationships/hyperlink" Target="https://dientutuonglai.com/board-test-gl-no-12-175-67-9mm.html" TargetMode="External"/><Relationship Id="rId36" Type="http://schemas.openxmlformats.org/officeDocument/2006/relationships/hyperlink" Target="https://caka.vn/day-cam-test-board-nhieu-kich-co-65-soi-duc-duc" TargetMode="External"/><Relationship Id="rId37" Type="http://schemas.openxmlformats.org/officeDocument/2006/relationships/hyperlink" Target="https://icdayroi.com/de-test-board-bread-board-165x54mm" TargetMode="External"/><Relationship Id="rId38" Type="http://schemas.openxmlformats.org/officeDocument/2006/relationships/hyperlink" Target="https://www.thegioiic.com/thiec-han-0-6-sn99-3-cu0-7-800g-xty" TargetMode="External"/><Relationship Id="rId39" Type="http://schemas.openxmlformats.org/officeDocument/2006/relationships/hyperlink" Target="https://linhkienthanhcong.com/tu-hoa-epcos-1000uf-450v-30x70mm" TargetMode="External"/><Relationship Id="rId40" Type="http://schemas.openxmlformats.org/officeDocument/2006/relationships/hyperlink" Target="https://www.thegioiic.com/tu-hoa-4700uf-35v-18x32mm-xuyen-lo" TargetMode="External"/><Relationship Id="rId41" Type="http://schemas.openxmlformats.org/officeDocument/2006/relationships/hyperlink" Target="https://dientukhaidinh.com/cong-tac-nut-nhan-nha-reset-5-huong-da-dung-10x10mm-6p-10p-nhieu-kieu-dang-kde8582" TargetMode="External"/><Relationship Id="rId42" Type="http://schemas.openxmlformats.org/officeDocument/2006/relationships/hyperlink" Target="https://chipn24.com/dip-ic-7414-74hc14-dip-14-74hc14n-ic-cong-not-schitt-trigger-6-cong-not-id769.html" TargetMode="External"/><Relationship Id="rId43" Type="http://schemas.openxmlformats.org/officeDocument/2006/relationships/hyperlink" Target="https://banlinhkiendientu.vn/sn74hc14n/?gad_source=1&amp;gad_campaignid=8191264750&amp;gbraid=0AAAAADlkY95EJF2S_JNRu012I94DBRoEm&amp;gclid=CjwKCAiAvaLLBhBFEiwAYCNTf-OWjCrvjfL2p0OgPLMszOOdqy4xo9lOb5s5xYZ0pFRCPupdgznbWRoCGjQQAvD_BwE" TargetMode="External"/><Relationship Id="rId44" Type="http://schemas.openxmlformats.org/officeDocument/2006/relationships/hyperlink" Target="https://dientutuonglai.com/ic-74ls74-dip14.html" TargetMode="External"/><Relationship Id="rId45" Type="http://schemas.openxmlformats.org/officeDocument/2006/relationships/hyperlink" Target="https://banlinhkiendientu.vn/chiet-ap-tinh-chinh-rm065-100k/?gad_source=1&amp;gad_campaignid=8191264750&amp;gbraid=0AAAAADlkY95EJF2S_JNRu012I94DBRoEm&amp;gclid=CjwKCAiAvaLLBhBFEiwAYCNTf3oIpJae7liJJ5udUxF0B4m7nrXWalE1r_poT8AXhYZQG339yEFeVRoCsG8QAvD_BwE" TargetMode="External"/><Relationship Id="rId46" Type="http://schemas.openxmlformats.org/officeDocument/2006/relationships/hyperlink" Target="https://hoachatvietlong.vn/san-pham/xang-pha-son-sat-ma-kem-son-dau-son-epoxy/" TargetMode="External"/><Relationship Id="rId47" Type="http://schemas.openxmlformats.org/officeDocument/2006/relationships/hyperlink" Target="https://nhathuoclongchau.com.vn/trang-thiet-bi-y-te/con-90-do-vp-500ml-18093.html" TargetMode="External"/><Relationship Id="rId48" Type="http://schemas.openxmlformats.org/officeDocument/2006/relationships/hyperlink" Target="https://linhkienchatluong.vn/diode-chinh-luu/1n4007-diode-chinh-luu-1a-1000v-chan-to-07x58mm-chinh-hang-mic-10c_sp572_ct6892.aspx" TargetMode="External"/><Relationship Id="rId49" Type="http://schemas.openxmlformats.org/officeDocument/2006/relationships/hyperlink" Target="https://linhkienchatluong.vn/ic-on-ap/a1013-2sa1013-pnp-transistor-1a-160v-sot-89-chinh-hang-jcet_sp1000_ct17052.aspx" TargetMode="External"/><Relationship Id="rId50" Type="http://schemas.openxmlformats.org/officeDocument/2006/relationships/hyperlink" Target="https://banlinhkiendientu.vn/a1013/?srsltid=AfmBOoqfbV33DalIewNgdgNc45C6BXlejizux0ChPgajlXVVU3EK8M1g" TargetMode="External"/><Relationship Id="rId51" Type="http://schemas.openxmlformats.org/officeDocument/2006/relationships/hyperlink" Target="http://kimloaimau.net/cuon-ong-dong-do-phi-6.35x0.71mm-8367" TargetMode="External"/><Relationship Id="rId52" Type="http://schemas.openxmlformats.org/officeDocument/2006/relationships/hyperlink" Target="https://vattunganhlanh.vn/thong-tin-san-pham/ong-dong-thai-lan-phi-10-cuon-15m/" TargetMode="External"/><Relationship Id="rId53" Type="http://schemas.openxmlformats.org/officeDocument/2006/relationships/hyperlink" Target="https://vattudienlanhgiare.net/san-pham/Ong-dong-may-lanh-phi-12-Luvata-LHCT-1343.html" TargetMode="External"/><Relationship Id="rId54" Type="http://schemas.openxmlformats.org/officeDocument/2006/relationships/hyperlink" Target="https://dienmayhaianh.vn/san-pham/ti-nap-gas-lanh-3172.html" TargetMode="External"/><Relationship Id="rId55" Type="http://schemas.openxmlformats.org/officeDocument/2006/relationships/hyperlink" Target="https://lanh.com.vn/san-pham/tiet-luu-cap-ong-ma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customHeight="false" zeroHeight="false" outlineLevelRow="0" outlineLevelCol="0"/>
  <cols>
    <col collapsed="false" customWidth="true" hidden="false" outlineLevel="0" max="2" min="2" style="0" width="34.14"/>
    <col collapsed="false" customWidth="true" hidden="false" outlineLevel="0" max="4" min="4" style="0" width="23.86"/>
    <col collapsed="false" customWidth="true" hidden="false" outlineLevel="0" max="5" min="5" style="1" width="38.43"/>
    <col collapsed="false" customWidth="true" hidden="false" outlineLevel="0" max="6" min="6" style="0" width="28.14"/>
    <col collapsed="false" customWidth="true" hidden="false" outlineLevel="0" max="7" min="7" style="0" width="24"/>
    <col collapsed="false" customWidth="true" hidden="false" outlineLevel="0" max="9" min="9" style="0" width="17.43"/>
    <col collapsed="false" customWidth="true" hidden="false" outlineLevel="0" max="10" min="10" style="0" width="18.86"/>
  </cols>
  <sheetData>
    <row r="1" customFormat="false" ht="26.85" hidden="false" customHeight="false" outlineLevel="0" collapsed="false">
      <c r="A1" s="2" t="s">
        <v>0</v>
      </c>
      <c r="B1" s="3" t="s">
        <v>1</v>
      </c>
      <c r="C1" s="3" t="s">
        <v>2</v>
      </c>
      <c r="D1" s="3" t="s">
        <v>3</v>
      </c>
      <c r="E1" s="4" t="s">
        <v>4</v>
      </c>
      <c r="F1" s="3" t="s">
        <v>5</v>
      </c>
      <c r="G1" s="5" t="s">
        <v>6</v>
      </c>
      <c r="H1" s="5" t="s">
        <v>7</v>
      </c>
      <c r="I1" s="5" t="s">
        <v>8</v>
      </c>
    </row>
    <row r="2" customFormat="false" ht="52.2" hidden="false" customHeight="false" outlineLevel="0" collapsed="false">
      <c r="A2" s="6" t="n">
        <v>1</v>
      </c>
      <c r="B2" s="7" t="s">
        <v>9</v>
      </c>
      <c r="C2" s="8" t="s">
        <v>10</v>
      </c>
      <c r="D2" s="9" t="s">
        <v>11</v>
      </c>
      <c r="E2" s="10" t="s">
        <v>12</v>
      </c>
      <c r="F2" s="9" t="s">
        <v>13</v>
      </c>
      <c r="G2" s="11" t="n">
        <v>15000</v>
      </c>
      <c r="H2" s="12" t="n">
        <v>30</v>
      </c>
      <c r="I2" s="13" t="n">
        <f aca="false">G2*H2</f>
        <v>450000</v>
      </c>
      <c r="J2" s="0" t="s">
        <v>14</v>
      </c>
    </row>
    <row r="3" customFormat="false" ht="77.6" hidden="false" customHeight="false" outlineLevel="0" collapsed="false">
      <c r="A3" s="6" t="n">
        <v>2</v>
      </c>
      <c r="B3" s="14" t="s">
        <v>15</v>
      </c>
      <c r="C3" s="8" t="s">
        <v>16</v>
      </c>
      <c r="D3" s="9" t="s">
        <v>11</v>
      </c>
      <c r="E3" s="10" t="s">
        <v>17</v>
      </c>
      <c r="F3" s="15" t="s">
        <v>18</v>
      </c>
      <c r="G3" s="16" t="n">
        <v>10000</v>
      </c>
      <c r="H3" s="12" t="n">
        <v>60</v>
      </c>
      <c r="I3" s="13" t="n">
        <f aca="false">G3*H3</f>
        <v>600000</v>
      </c>
      <c r="J3" s="0" t="s">
        <v>14</v>
      </c>
    </row>
    <row r="4" customFormat="false" ht="77.6" hidden="false" customHeight="false" outlineLevel="0" collapsed="false">
      <c r="A4" s="6" t="n">
        <v>3</v>
      </c>
      <c r="B4" s="7" t="s">
        <v>19</v>
      </c>
      <c r="C4" s="8" t="s">
        <v>16</v>
      </c>
      <c r="D4" s="9" t="s">
        <v>11</v>
      </c>
      <c r="E4" s="10" t="s">
        <v>20</v>
      </c>
      <c r="F4" s="15" t="s">
        <v>18</v>
      </c>
      <c r="G4" s="16" t="n">
        <v>15000</v>
      </c>
      <c r="H4" s="12" t="n">
        <v>30</v>
      </c>
      <c r="I4" s="13" t="n">
        <f aca="false">G4*H4</f>
        <v>450000</v>
      </c>
      <c r="J4" s="0" t="s">
        <v>14</v>
      </c>
    </row>
    <row r="5" customFormat="false" ht="156.7" hidden="false" customHeight="false" outlineLevel="0" collapsed="false">
      <c r="A5" s="6" t="n">
        <v>4</v>
      </c>
      <c r="B5" s="14" t="s">
        <v>21</v>
      </c>
      <c r="C5" s="8" t="s">
        <v>10</v>
      </c>
      <c r="D5" s="9" t="s">
        <v>11</v>
      </c>
      <c r="E5" s="17" t="s">
        <v>22</v>
      </c>
      <c r="F5" s="15" t="s">
        <v>18</v>
      </c>
      <c r="G5" s="16" t="n">
        <v>18000</v>
      </c>
      <c r="H5" s="18" t="n">
        <v>30</v>
      </c>
      <c r="I5" s="13" t="n">
        <f aca="false">G5*H5</f>
        <v>540000</v>
      </c>
      <c r="J5" s="0" t="s">
        <v>14</v>
      </c>
    </row>
    <row r="6" customFormat="false" ht="156.7" hidden="false" customHeight="false" outlineLevel="0" collapsed="false">
      <c r="A6" s="6" t="n">
        <v>5</v>
      </c>
      <c r="B6" s="14" t="s">
        <v>23</v>
      </c>
      <c r="C6" s="8" t="s">
        <v>10</v>
      </c>
      <c r="D6" s="9" t="s">
        <v>11</v>
      </c>
      <c r="E6" s="17" t="s">
        <v>24</v>
      </c>
      <c r="F6" s="15" t="s">
        <v>18</v>
      </c>
      <c r="G6" s="16" t="n">
        <v>20000</v>
      </c>
      <c r="H6" s="12" t="n">
        <v>30</v>
      </c>
      <c r="I6" s="13" t="n">
        <f aca="false">G6*H6</f>
        <v>600000</v>
      </c>
      <c r="J6" s="0" t="s">
        <v>14</v>
      </c>
    </row>
    <row r="7" customFormat="false" ht="164.25" hidden="false" customHeight="true" outlineLevel="0" collapsed="false">
      <c r="A7" s="6" t="n">
        <v>6</v>
      </c>
      <c r="B7" s="19" t="s">
        <v>25</v>
      </c>
      <c r="C7" s="20" t="s">
        <v>16</v>
      </c>
      <c r="D7" s="9" t="s">
        <v>11</v>
      </c>
      <c r="E7" s="10" t="s">
        <v>26</v>
      </c>
      <c r="F7" s="9" t="s">
        <v>27</v>
      </c>
      <c r="G7" s="21" t="n">
        <v>8500</v>
      </c>
      <c r="H7" s="18" t="n">
        <v>100</v>
      </c>
      <c r="I7" s="13" t="n">
        <f aca="false">G7*H7</f>
        <v>850000</v>
      </c>
      <c r="J7" s="22" t="s">
        <v>28</v>
      </c>
    </row>
    <row r="8" customFormat="false" ht="49.25" hidden="false" customHeight="false" outlineLevel="0" collapsed="false">
      <c r="A8" s="6" t="n">
        <v>7</v>
      </c>
      <c r="B8" s="19" t="s">
        <v>29</v>
      </c>
      <c r="C8" s="20" t="s">
        <v>16</v>
      </c>
      <c r="D8" s="9" t="s">
        <v>11</v>
      </c>
      <c r="E8" s="17" t="s">
        <v>30</v>
      </c>
      <c r="F8" s="9" t="s">
        <v>27</v>
      </c>
      <c r="G8" s="21" t="n">
        <v>5000</v>
      </c>
      <c r="H8" s="12" t="n">
        <v>100</v>
      </c>
      <c r="I8" s="13" t="n">
        <f aca="false">G8*H8</f>
        <v>500000</v>
      </c>
      <c r="J8" s="22" t="s">
        <v>28</v>
      </c>
    </row>
    <row r="9" customFormat="false" ht="97" hidden="false" customHeight="false" outlineLevel="0" collapsed="false">
      <c r="A9" s="6" t="n">
        <v>8</v>
      </c>
      <c r="B9" s="19" t="s">
        <v>31</v>
      </c>
      <c r="C9" s="20" t="s">
        <v>32</v>
      </c>
      <c r="D9" s="9" t="s">
        <v>11</v>
      </c>
      <c r="E9" s="17" t="s">
        <v>33</v>
      </c>
      <c r="F9" s="9" t="s">
        <v>34</v>
      </c>
      <c r="G9" s="16" t="n">
        <v>44000</v>
      </c>
      <c r="H9" s="18" t="n">
        <v>50</v>
      </c>
      <c r="I9" s="13" t="n">
        <f aca="false">G9*H9</f>
        <v>2200000</v>
      </c>
      <c r="J9" s="22" t="s">
        <v>35</v>
      </c>
    </row>
    <row r="10" customFormat="false" ht="49.25" hidden="false" customHeight="false" outlineLevel="0" collapsed="false">
      <c r="A10" s="6" t="n">
        <v>9</v>
      </c>
      <c r="B10" s="23" t="s">
        <v>36</v>
      </c>
      <c r="C10" s="24" t="s">
        <v>37</v>
      </c>
      <c r="D10" s="9" t="s">
        <v>11</v>
      </c>
      <c r="E10" s="17" t="s">
        <v>38</v>
      </c>
      <c r="F10" s="9" t="s">
        <v>13</v>
      </c>
      <c r="G10" s="16" t="n">
        <v>50000</v>
      </c>
      <c r="H10" s="12" t="n">
        <v>40</v>
      </c>
      <c r="I10" s="13" t="n">
        <f aca="false">G10*H10</f>
        <v>2000000</v>
      </c>
      <c r="J10" s="22" t="s">
        <v>39</v>
      </c>
    </row>
    <row r="11" customFormat="false" ht="64.15" hidden="false" customHeight="false" outlineLevel="0" collapsed="false">
      <c r="A11" s="6" t="n">
        <v>10</v>
      </c>
      <c r="B11" s="25" t="s">
        <v>40</v>
      </c>
      <c r="C11" s="20" t="s">
        <v>41</v>
      </c>
      <c r="D11" s="9" t="s">
        <v>11</v>
      </c>
      <c r="E11" s="26" t="s">
        <v>42</v>
      </c>
      <c r="F11" s="9" t="s">
        <v>43</v>
      </c>
      <c r="G11" s="16" t="n">
        <v>100000</v>
      </c>
      <c r="H11" s="12" t="n">
        <v>15</v>
      </c>
      <c r="I11" s="13" t="n">
        <f aca="false">G11*H11</f>
        <v>1500000</v>
      </c>
      <c r="J11" s="22" t="s">
        <v>44</v>
      </c>
    </row>
    <row r="12" customFormat="false" ht="61.15" hidden="false" customHeight="false" outlineLevel="0" collapsed="false">
      <c r="A12" s="6" t="n">
        <v>11</v>
      </c>
      <c r="B12" s="25" t="s">
        <v>45</v>
      </c>
      <c r="C12" s="27" t="s">
        <v>46</v>
      </c>
      <c r="D12" s="28" t="s">
        <v>11</v>
      </c>
      <c r="E12" s="29" t="s">
        <v>47</v>
      </c>
      <c r="F12" s="28" t="s">
        <v>43</v>
      </c>
      <c r="G12" s="30" t="n">
        <v>20000</v>
      </c>
      <c r="H12" s="12" t="n">
        <v>62</v>
      </c>
      <c r="I12" s="13" t="n">
        <f aca="false">G12*H12</f>
        <v>1240000</v>
      </c>
      <c r="J12" s="22" t="s">
        <v>48</v>
      </c>
    </row>
    <row r="13" customFormat="false" ht="61.15" hidden="false" customHeight="false" outlineLevel="0" collapsed="false">
      <c r="A13" s="6" t="n">
        <v>12</v>
      </c>
      <c r="B13" s="25" t="s">
        <v>49</v>
      </c>
      <c r="C13" s="27" t="s">
        <v>46</v>
      </c>
      <c r="D13" s="28" t="s">
        <v>11</v>
      </c>
      <c r="E13" s="29" t="s">
        <v>47</v>
      </c>
      <c r="F13" s="28" t="s">
        <v>43</v>
      </c>
      <c r="G13" s="30" t="n">
        <v>25000</v>
      </c>
      <c r="H13" s="12" t="n">
        <v>62</v>
      </c>
      <c r="I13" s="13" t="n">
        <f aca="false">G13*H13</f>
        <v>1550000</v>
      </c>
      <c r="J13" s="22" t="s">
        <v>48</v>
      </c>
    </row>
    <row r="14" customFormat="false" ht="85.05" hidden="false" customHeight="false" outlineLevel="0" collapsed="false">
      <c r="A14" s="6" t="n">
        <v>13</v>
      </c>
      <c r="B14" s="25" t="s">
        <v>50</v>
      </c>
      <c r="C14" s="27" t="s">
        <v>46</v>
      </c>
      <c r="D14" s="28" t="s">
        <v>11</v>
      </c>
      <c r="E14" s="29" t="s">
        <v>51</v>
      </c>
      <c r="F14" s="28" t="s">
        <v>43</v>
      </c>
      <c r="G14" s="30" t="n">
        <v>20000</v>
      </c>
      <c r="H14" s="12" t="n">
        <v>24</v>
      </c>
      <c r="I14" s="13" t="n">
        <f aca="false">G14*H14</f>
        <v>480000</v>
      </c>
      <c r="J14" s="22" t="s">
        <v>52</v>
      </c>
    </row>
    <row r="15" customFormat="false" ht="97" hidden="false" customHeight="false" outlineLevel="0" collapsed="false">
      <c r="A15" s="6" t="n">
        <v>14</v>
      </c>
      <c r="B15" s="25" t="s">
        <v>53</v>
      </c>
      <c r="C15" s="27" t="s">
        <v>46</v>
      </c>
      <c r="D15" s="9" t="s">
        <v>11</v>
      </c>
      <c r="E15" s="17" t="s">
        <v>54</v>
      </c>
      <c r="F15" s="9" t="s">
        <v>43</v>
      </c>
      <c r="G15" s="30" t="n">
        <v>35000</v>
      </c>
      <c r="H15" s="12" t="n">
        <v>24</v>
      </c>
      <c r="I15" s="13" t="n">
        <f aca="false">G15*H15</f>
        <v>840000</v>
      </c>
      <c r="J15" s="22" t="s">
        <v>55</v>
      </c>
    </row>
    <row r="16" customFormat="false" ht="49.25" hidden="false" customHeight="false" outlineLevel="0" collapsed="false">
      <c r="A16" s="6" t="n">
        <v>15</v>
      </c>
      <c r="B16" s="31" t="s">
        <v>56</v>
      </c>
      <c r="C16" s="27" t="s">
        <v>57</v>
      </c>
      <c r="D16" s="9" t="s">
        <v>11</v>
      </c>
      <c r="E16" s="17" t="s">
        <v>58</v>
      </c>
      <c r="F16" s="9" t="s">
        <v>59</v>
      </c>
      <c r="G16" s="16" t="n">
        <v>17000</v>
      </c>
      <c r="H16" s="32" t="n">
        <v>15</v>
      </c>
      <c r="I16" s="13" t="n">
        <f aca="false">G16*H16</f>
        <v>255000</v>
      </c>
      <c r="J16" s="22" t="s">
        <v>60</v>
      </c>
    </row>
    <row r="17" customFormat="false" ht="49.25" hidden="false" customHeight="false" outlineLevel="0" collapsed="false">
      <c r="A17" s="6" t="n">
        <v>16</v>
      </c>
      <c r="B17" s="33" t="s">
        <v>61</v>
      </c>
      <c r="C17" s="27" t="s">
        <v>16</v>
      </c>
      <c r="D17" s="9" t="s">
        <v>11</v>
      </c>
      <c r="E17" s="17" t="s">
        <v>62</v>
      </c>
      <c r="F17" s="9" t="s">
        <v>27</v>
      </c>
      <c r="G17" s="30" t="n">
        <v>11000</v>
      </c>
      <c r="H17" s="12" t="n">
        <v>100</v>
      </c>
      <c r="I17" s="13" t="n">
        <f aca="false">G17*H17</f>
        <v>1100000</v>
      </c>
      <c r="J17" s="22" t="s">
        <v>63</v>
      </c>
    </row>
    <row r="18" customFormat="false" ht="15" hidden="false" customHeight="false" outlineLevel="0" collapsed="false">
      <c r="A18" s="6" t="n">
        <v>17</v>
      </c>
      <c r="B18" s="25" t="s">
        <v>64</v>
      </c>
      <c r="C18" s="27" t="s">
        <v>16</v>
      </c>
      <c r="D18" s="9" t="s">
        <v>11</v>
      </c>
      <c r="E18" s="17"/>
      <c r="F18" s="9" t="s">
        <v>13</v>
      </c>
      <c r="G18" s="30" t="n">
        <v>110000</v>
      </c>
      <c r="H18" s="18" t="n">
        <v>24</v>
      </c>
      <c r="I18" s="13" t="n">
        <f aca="false">G18*H18</f>
        <v>2640000</v>
      </c>
    </row>
    <row r="19" customFormat="false" ht="85.05" hidden="false" customHeight="false" outlineLevel="0" collapsed="false">
      <c r="A19" s="6" t="n">
        <v>18</v>
      </c>
      <c r="B19" s="25" t="s">
        <v>65</v>
      </c>
      <c r="C19" s="27" t="s">
        <v>16</v>
      </c>
      <c r="D19" s="9" t="s">
        <v>11</v>
      </c>
      <c r="E19" s="17" t="s">
        <v>66</v>
      </c>
      <c r="F19" s="9" t="s">
        <v>13</v>
      </c>
      <c r="G19" s="30" t="n">
        <v>5000</v>
      </c>
      <c r="H19" s="18" t="n">
        <v>24</v>
      </c>
      <c r="I19" s="13" t="n">
        <f aca="false">G19*H19</f>
        <v>120000</v>
      </c>
      <c r="J19" s="22" t="s">
        <v>67</v>
      </c>
    </row>
    <row r="20" customFormat="false" ht="37.3" hidden="false" customHeight="false" outlineLevel="0" collapsed="false">
      <c r="A20" s="6" t="n">
        <v>19</v>
      </c>
      <c r="B20" s="25" t="s">
        <v>68</v>
      </c>
      <c r="C20" s="27" t="s">
        <v>57</v>
      </c>
      <c r="D20" s="9" t="s">
        <v>11</v>
      </c>
      <c r="E20" s="17" t="s">
        <v>69</v>
      </c>
      <c r="F20" s="9" t="s">
        <v>13</v>
      </c>
      <c r="G20" s="30" t="n">
        <v>50000</v>
      </c>
      <c r="H20" s="18" t="n">
        <v>24</v>
      </c>
      <c r="I20" s="13" t="n">
        <f aca="false">G20*H20</f>
        <v>1200000</v>
      </c>
      <c r="J20" s="22" t="s">
        <v>70</v>
      </c>
    </row>
    <row r="21" customFormat="false" ht="85.05" hidden="false" customHeight="false" outlineLevel="0" collapsed="false">
      <c r="A21" s="6" t="n">
        <v>20</v>
      </c>
      <c r="B21" s="25" t="s">
        <v>71</v>
      </c>
      <c r="C21" s="27" t="s">
        <v>16</v>
      </c>
      <c r="D21" s="9" t="s">
        <v>11</v>
      </c>
      <c r="E21" s="17" t="s">
        <v>66</v>
      </c>
      <c r="F21" s="9" t="s">
        <v>13</v>
      </c>
      <c r="G21" s="30" t="n">
        <v>5000</v>
      </c>
      <c r="H21" s="18" t="n">
        <v>48</v>
      </c>
      <c r="I21" s="13" t="n">
        <f aca="false">G21*H21</f>
        <v>240000</v>
      </c>
      <c r="J21" s="22" t="s">
        <v>67</v>
      </c>
    </row>
    <row r="22" customFormat="false" ht="85.05" hidden="false" customHeight="false" outlineLevel="0" collapsed="false">
      <c r="A22" s="6" t="n">
        <v>21</v>
      </c>
      <c r="B22" s="25" t="s">
        <v>72</v>
      </c>
      <c r="C22" s="27" t="s">
        <v>16</v>
      </c>
      <c r="D22" s="9" t="s">
        <v>11</v>
      </c>
      <c r="E22" s="17" t="s">
        <v>66</v>
      </c>
      <c r="F22" s="9" t="s">
        <v>13</v>
      </c>
      <c r="G22" s="30" t="n">
        <v>5000</v>
      </c>
      <c r="H22" s="18" t="n">
        <v>48</v>
      </c>
      <c r="I22" s="13" t="n">
        <f aca="false">G22*H22</f>
        <v>240000</v>
      </c>
      <c r="J22" s="22" t="s">
        <v>67</v>
      </c>
    </row>
    <row r="23" customFormat="false" ht="101.25" hidden="false" customHeight="true" outlineLevel="0" collapsed="false">
      <c r="A23" s="6" t="n">
        <v>22</v>
      </c>
      <c r="B23" s="25" t="s">
        <v>73</v>
      </c>
      <c r="C23" s="27" t="s">
        <v>74</v>
      </c>
      <c r="D23" s="9" t="s">
        <v>11</v>
      </c>
      <c r="E23" s="17" t="s">
        <v>75</v>
      </c>
      <c r="F23" s="9" t="s">
        <v>13</v>
      </c>
      <c r="G23" s="30" t="n">
        <v>883000</v>
      </c>
      <c r="H23" s="18" t="n">
        <v>10</v>
      </c>
      <c r="I23" s="13" t="n">
        <f aca="false">G23*H23</f>
        <v>8830000</v>
      </c>
      <c r="J23" s="22" t="s">
        <v>76</v>
      </c>
    </row>
    <row r="24" customFormat="false" ht="49.25" hidden="false" customHeight="false" outlineLevel="0" collapsed="false">
      <c r="A24" s="6" t="n">
        <v>23</v>
      </c>
      <c r="B24" s="25" t="s">
        <v>77</v>
      </c>
      <c r="C24" s="27" t="s">
        <v>74</v>
      </c>
      <c r="D24" s="9" t="s">
        <v>11</v>
      </c>
      <c r="E24" s="17" t="s">
        <v>75</v>
      </c>
      <c r="F24" s="9" t="s">
        <v>13</v>
      </c>
      <c r="G24" s="30" t="n">
        <v>800000</v>
      </c>
      <c r="H24" s="18" t="n">
        <v>20</v>
      </c>
      <c r="I24" s="13" t="n">
        <f aca="false">G24*H24</f>
        <v>16000000</v>
      </c>
      <c r="J24" s="22" t="s">
        <v>76</v>
      </c>
    </row>
    <row r="25" customFormat="false" ht="37.3" hidden="false" customHeight="false" outlineLevel="0" collapsed="false">
      <c r="A25" s="6" t="n">
        <v>24</v>
      </c>
      <c r="B25" s="25" t="s">
        <v>78</v>
      </c>
      <c r="C25" s="27" t="s">
        <v>79</v>
      </c>
      <c r="D25" s="9" t="s">
        <v>11</v>
      </c>
      <c r="E25" s="17" t="s">
        <v>80</v>
      </c>
      <c r="F25" s="9" t="s">
        <v>81</v>
      </c>
      <c r="G25" s="30" t="n">
        <v>30000</v>
      </c>
      <c r="H25" s="18" t="n">
        <v>19</v>
      </c>
      <c r="I25" s="13" t="n">
        <f aca="false">G25*H25</f>
        <v>570000</v>
      </c>
      <c r="J25" s="22" t="s">
        <v>82</v>
      </c>
    </row>
    <row r="26" customFormat="false" ht="16.4" hidden="false" customHeight="false" outlineLevel="0" collapsed="false">
      <c r="A26" s="6" t="n">
        <v>25</v>
      </c>
      <c r="B26" s="25" t="s">
        <v>83</v>
      </c>
      <c r="C26" s="27" t="s">
        <v>16</v>
      </c>
      <c r="D26" s="9" t="s">
        <v>11</v>
      </c>
      <c r="E26" s="17"/>
      <c r="F26" s="9" t="s">
        <v>13</v>
      </c>
      <c r="G26" s="30" t="n">
        <v>120000</v>
      </c>
      <c r="H26" s="32" t="n">
        <v>5</v>
      </c>
      <c r="I26" s="13" t="n">
        <f aca="false">G26*H26</f>
        <v>600000</v>
      </c>
      <c r="J26" s="22" t="s">
        <v>84</v>
      </c>
    </row>
    <row r="27" customFormat="false" ht="77.6" hidden="false" customHeight="false" outlineLevel="0" collapsed="false">
      <c r="A27" s="6" t="n">
        <v>26</v>
      </c>
      <c r="B27" s="25" t="s">
        <v>85</v>
      </c>
      <c r="C27" s="27" t="s">
        <v>86</v>
      </c>
      <c r="D27" s="9" t="s">
        <v>11</v>
      </c>
      <c r="E27" s="10" t="s">
        <v>87</v>
      </c>
      <c r="F27" s="9" t="s">
        <v>13</v>
      </c>
      <c r="G27" s="30" t="n">
        <v>5000</v>
      </c>
      <c r="H27" s="12" t="n">
        <v>140</v>
      </c>
      <c r="I27" s="13" t="n">
        <f aca="false">G27*H27</f>
        <v>700000</v>
      </c>
      <c r="J27" s="22" t="s">
        <v>88</v>
      </c>
    </row>
    <row r="28" customFormat="false" ht="39.55" hidden="false" customHeight="false" outlineLevel="0" collapsed="false">
      <c r="A28" s="6" t="n">
        <v>27</v>
      </c>
      <c r="B28" s="25" t="s">
        <v>89</v>
      </c>
      <c r="C28" s="27" t="s">
        <v>86</v>
      </c>
      <c r="D28" s="9" t="s">
        <v>11</v>
      </c>
      <c r="E28" s="10" t="s">
        <v>90</v>
      </c>
      <c r="F28" s="9" t="s">
        <v>13</v>
      </c>
      <c r="G28" s="30" t="n">
        <v>2000</v>
      </c>
      <c r="H28" s="18" t="n">
        <v>30</v>
      </c>
      <c r="I28" s="13" t="n">
        <f aca="false">G28*H28</f>
        <v>60000</v>
      </c>
      <c r="J28" s="22" t="s">
        <v>91</v>
      </c>
    </row>
    <row r="29" customFormat="false" ht="64.9" hidden="false" customHeight="false" outlineLevel="0" collapsed="false">
      <c r="A29" s="6" t="n">
        <v>28</v>
      </c>
      <c r="B29" s="25" t="s">
        <v>92</v>
      </c>
      <c r="C29" s="27" t="s">
        <v>86</v>
      </c>
      <c r="D29" s="9" t="s">
        <v>11</v>
      </c>
      <c r="E29" s="10" t="s">
        <v>93</v>
      </c>
      <c r="F29" s="9" t="s">
        <v>13</v>
      </c>
      <c r="G29" s="30" t="n">
        <v>2000</v>
      </c>
      <c r="H29" s="18" t="n">
        <v>30</v>
      </c>
      <c r="I29" s="13" t="n">
        <f aca="false">G29*H29</f>
        <v>60000</v>
      </c>
      <c r="J29" s="22" t="s">
        <v>94</v>
      </c>
    </row>
    <row r="30" customFormat="false" ht="73.1" hidden="false" customHeight="false" outlineLevel="0" collapsed="false">
      <c r="A30" s="6" t="n">
        <v>29</v>
      </c>
      <c r="B30" s="25" t="s">
        <v>95</v>
      </c>
      <c r="C30" s="27" t="s">
        <v>86</v>
      </c>
      <c r="D30" s="9" t="s">
        <v>11</v>
      </c>
      <c r="E30" s="17" t="s">
        <v>96</v>
      </c>
      <c r="F30" s="9" t="s">
        <v>13</v>
      </c>
      <c r="G30" s="30" t="n">
        <v>2000</v>
      </c>
      <c r="H30" s="18" t="n">
        <v>30</v>
      </c>
      <c r="I30" s="13" t="n">
        <f aca="false">G30*H30</f>
        <v>60000</v>
      </c>
      <c r="J30" s="22" t="s">
        <v>97</v>
      </c>
    </row>
    <row r="31" customFormat="false" ht="49.25" hidden="false" customHeight="false" outlineLevel="0" collapsed="false">
      <c r="A31" s="6" t="n">
        <v>30</v>
      </c>
      <c r="B31" s="25" t="s">
        <v>98</v>
      </c>
      <c r="C31" s="27" t="s">
        <v>86</v>
      </c>
      <c r="D31" s="9" t="s">
        <v>11</v>
      </c>
      <c r="E31" s="17" t="s">
        <v>99</v>
      </c>
      <c r="F31" s="9" t="s">
        <v>13</v>
      </c>
      <c r="G31" s="30" t="n">
        <v>2000</v>
      </c>
      <c r="H31" s="18" t="n">
        <v>30</v>
      </c>
      <c r="I31" s="13" t="n">
        <f aca="false">G31*H31</f>
        <v>60000</v>
      </c>
      <c r="J31" s="22" t="s">
        <v>100</v>
      </c>
    </row>
    <row r="32" customFormat="false" ht="73.1" hidden="false" customHeight="false" outlineLevel="0" collapsed="false">
      <c r="A32" s="6" t="n">
        <v>31</v>
      </c>
      <c r="B32" s="25" t="s">
        <v>101</v>
      </c>
      <c r="C32" s="27" t="s">
        <v>86</v>
      </c>
      <c r="D32" s="9" t="s">
        <v>11</v>
      </c>
      <c r="E32" s="17" t="s">
        <v>102</v>
      </c>
      <c r="F32" s="9" t="s">
        <v>13</v>
      </c>
      <c r="G32" s="30" t="n">
        <v>2000</v>
      </c>
      <c r="H32" s="18" t="n">
        <v>30</v>
      </c>
      <c r="I32" s="13" t="n">
        <f aca="false">G32*H32</f>
        <v>60000</v>
      </c>
    </row>
    <row r="33" customFormat="false" ht="73.1" hidden="false" customHeight="false" outlineLevel="0" collapsed="false">
      <c r="A33" s="6" t="n">
        <v>32</v>
      </c>
      <c r="B33" s="25" t="s">
        <v>103</v>
      </c>
      <c r="C33" s="27" t="s">
        <v>86</v>
      </c>
      <c r="D33" s="9" t="s">
        <v>11</v>
      </c>
      <c r="E33" s="17" t="s">
        <v>104</v>
      </c>
      <c r="F33" s="9" t="s">
        <v>13</v>
      </c>
      <c r="G33" s="30" t="n">
        <v>2000</v>
      </c>
      <c r="H33" s="18" t="n">
        <v>30</v>
      </c>
      <c r="I33" s="13" t="n">
        <f aca="false">G33*H33</f>
        <v>60000</v>
      </c>
    </row>
    <row r="34" customFormat="false" ht="73.1" hidden="false" customHeight="false" outlineLevel="0" collapsed="false">
      <c r="A34" s="6" t="n">
        <v>33</v>
      </c>
      <c r="B34" s="25" t="s">
        <v>105</v>
      </c>
      <c r="C34" s="27" t="s">
        <v>106</v>
      </c>
      <c r="D34" s="9" t="s">
        <v>11</v>
      </c>
      <c r="E34" s="17" t="s">
        <v>107</v>
      </c>
      <c r="F34" s="9" t="s">
        <v>108</v>
      </c>
      <c r="G34" s="30" t="n">
        <v>10000</v>
      </c>
      <c r="H34" s="18" t="n">
        <v>72</v>
      </c>
      <c r="I34" s="13" t="n">
        <f aca="false">G34*H34</f>
        <v>720000</v>
      </c>
      <c r="J34" s="22" t="s">
        <v>109</v>
      </c>
    </row>
    <row r="35" customFormat="false" ht="166.5" hidden="false" customHeight="true" outlineLevel="0" collapsed="false">
      <c r="A35" s="6" t="n">
        <v>34</v>
      </c>
      <c r="B35" s="25" t="s">
        <v>110</v>
      </c>
      <c r="C35" s="27" t="s">
        <v>106</v>
      </c>
      <c r="D35" s="9" t="s">
        <v>11</v>
      </c>
      <c r="E35" s="17" t="s">
        <v>111</v>
      </c>
      <c r="F35" s="9" t="s">
        <v>108</v>
      </c>
      <c r="G35" s="30" t="n">
        <v>12000</v>
      </c>
      <c r="H35" s="18" t="n">
        <v>40</v>
      </c>
      <c r="I35" s="13" t="n">
        <f aca="false">G35*H35</f>
        <v>480000</v>
      </c>
      <c r="J35" s="22" t="s">
        <v>112</v>
      </c>
    </row>
    <row r="36" customFormat="false" ht="132.8" hidden="false" customHeight="false" outlineLevel="0" collapsed="false">
      <c r="A36" s="6" t="n">
        <v>35</v>
      </c>
      <c r="B36" s="25" t="s">
        <v>113</v>
      </c>
      <c r="C36" s="27" t="s">
        <v>106</v>
      </c>
      <c r="D36" s="9" t="s">
        <v>11</v>
      </c>
      <c r="E36" s="17" t="s">
        <v>114</v>
      </c>
      <c r="F36" s="9" t="s">
        <v>108</v>
      </c>
      <c r="G36" s="30" t="n">
        <v>14000</v>
      </c>
      <c r="H36" s="18" t="n">
        <v>40</v>
      </c>
      <c r="I36" s="13" t="n">
        <f aca="false">G36*H36</f>
        <v>560000</v>
      </c>
      <c r="J36" s="22" t="s">
        <v>115</v>
      </c>
    </row>
    <row r="37" customFormat="false" ht="61.15" hidden="false" customHeight="false" outlineLevel="0" collapsed="false">
      <c r="A37" s="6" t="n">
        <v>36</v>
      </c>
      <c r="B37" s="25" t="s">
        <v>116</v>
      </c>
      <c r="C37" s="27" t="s">
        <v>106</v>
      </c>
      <c r="D37" s="9" t="s">
        <v>11</v>
      </c>
      <c r="E37" s="17" t="s">
        <v>117</v>
      </c>
      <c r="F37" s="9" t="s">
        <v>13</v>
      </c>
      <c r="G37" s="30" t="n">
        <v>20000</v>
      </c>
      <c r="H37" s="18" t="n">
        <v>40</v>
      </c>
      <c r="I37" s="13" t="n">
        <f aca="false">G37*H37</f>
        <v>800000</v>
      </c>
      <c r="J37" s="22" t="s">
        <v>118</v>
      </c>
    </row>
    <row r="38" customFormat="false" ht="85.05" hidden="false" customHeight="false" outlineLevel="0" collapsed="false">
      <c r="A38" s="6" t="n">
        <v>37</v>
      </c>
      <c r="B38" s="25" t="s">
        <v>119</v>
      </c>
      <c r="C38" s="27" t="s">
        <v>106</v>
      </c>
      <c r="D38" s="9" t="s">
        <v>11</v>
      </c>
      <c r="E38" s="17" t="s">
        <v>120</v>
      </c>
      <c r="F38" s="9" t="s">
        <v>108</v>
      </c>
      <c r="G38" s="30" t="n">
        <v>17000</v>
      </c>
      <c r="H38" s="18" t="n">
        <v>40</v>
      </c>
      <c r="I38" s="13" t="n">
        <f aca="false">G38*H38</f>
        <v>680000</v>
      </c>
      <c r="J38" s="22" t="s">
        <v>121</v>
      </c>
    </row>
    <row r="39" customFormat="false" ht="73.1" hidden="false" customHeight="false" outlineLevel="0" collapsed="false">
      <c r="A39" s="6" t="n">
        <v>38</v>
      </c>
      <c r="B39" s="25" t="s">
        <v>122</v>
      </c>
      <c r="C39" s="27" t="s">
        <v>106</v>
      </c>
      <c r="D39" s="9" t="s">
        <v>11</v>
      </c>
      <c r="E39" s="17" t="s">
        <v>123</v>
      </c>
      <c r="F39" s="9" t="s">
        <v>108</v>
      </c>
      <c r="G39" s="30" t="n">
        <v>12000</v>
      </c>
      <c r="H39" s="18" t="n">
        <v>40</v>
      </c>
      <c r="I39" s="13" t="n">
        <f aca="false">G39*H39</f>
        <v>480000</v>
      </c>
      <c r="J39" s="22" t="s">
        <v>124</v>
      </c>
    </row>
    <row r="40" customFormat="false" ht="132.8" hidden="false" customHeight="false" outlineLevel="0" collapsed="false">
      <c r="A40" s="6" t="n">
        <v>39</v>
      </c>
      <c r="B40" s="25" t="s">
        <v>125</v>
      </c>
      <c r="C40" s="27" t="s">
        <v>106</v>
      </c>
      <c r="D40" s="9" t="s">
        <v>11</v>
      </c>
      <c r="E40" s="17" t="s">
        <v>126</v>
      </c>
      <c r="F40" s="9" t="s">
        <v>108</v>
      </c>
      <c r="G40" s="30" t="n">
        <v>20000</v>
      </c>
      <c r="H40" s="18" t="n">
        <v>40</v>
      </c>
      <c r="I40" s="13" t="n">
        <f aca="false">G40*H40</f>
        <v>800000</v>
      </c>
      <c r="J40" s="22" t="s">
        <v>124</v>
      </c>
    </row>
    <row r="41" customFormat="false" ht="120.85" hidden="false" customHeight="false" outlineLevel="0" collapsed="false">
      <c r="A41" s="6" t="n">
        <v>40</v>
      </c>
      <c r="B41" s="25" t="s">
        <v>127</v>
      </c>
      <c r="C41" s="27" t="s">
        <v>106</v>
      </c>
      <c r="D41" s="9" t="s">
        <v>11</v>
      </c>
      <c r="E41" s="17" t="s">
        <v>128</v>
      </c>
      <c r="F41" s="9" t="s">
        <v>108</v>
      </c>
      <c r="G41" s="30" t="n">
        <v>17000</v>
      </c>
      <c r="H41" s="18" t="n">
        <v>144</v>
      </c>
      <c r="I41" s="13" t="n">
        <f aca="false">G41*H41</f>
        <v>2448000</v>
      </c>
      <c r="J41" s="22" t="s">
        <v>124</v>
      </c>
    </row>
    <row r="42" customFormat="false" ht="108.95" hidden="false" customHeight="false" outlineLevel="0" collapsed="false">
      <c r="A42" s="6" t="n">
        <v>41</v>
      </c>
      <c r="B42" s="25" t="s">
        <v>129</v>
      </c>
      <c r="C42" s="27" t="s">
        <v>10</v>
      </c>
      <c r="D42" s="9" t="s">
        <v>11</v>
      </c>
      <c r="E42" s="17" t="s">
        <v>130</v>
      </c>
      <c r="F42" s="9" t="s">
        <v>131</v>
      </c>
      <c r="G42" s="30" t="n">
        <v>350000</v>
      </c>
      <c r="H42" s="18" t="n">
        <v>5</v>
      </c>
      <c r="I42" s="13" t="n">
        <f aca="false">G42*H42</f>
        <v>1750000</v>
      </c>
      <c r="J42" s="22" t="s">
        <v>132</v>
      </c>
    </row>
    <row r="43" customFormat="false" ht="108.95" hidden="false" customHeight="false" outlineLevel="0" collapsed="false">
      <c r="A43" s="6" t="n">
        <v>42</v>
      </c>
      <c r="B43" s="34" t="s">
        <v>133</v>
      </c>
      <c r="C43" s="35" t="s">
        <v>10</v>
      </c>
      <c r="D43" s="36" t="s">
        <v>11</v>
      </c>
      <c r="E43" s="37" t="s">
        <v>134</v>
      </c>
      <c r="F43" s="36" t="s">
        <v>13</v>
      </c>
      <c r="G43" s="38" t="n">
        <v>2000</v>
      </c>
      <c r="H43" s="39" t="n">
        <v>20</v>
      </c>
      <c r="I43" s="13" t="n">
        <f aca="false">G43*H43</f>
        <v>40000</v>
      </c>
      <c r="J43" s="22" t="s">
        <v>135</v>
      </c>
    </row>
    <row r="44" customFormat="false" ht="108.95" hidden="false" customHeight="false" outlineLevel="0" collapsed="false">
      <c r="A44" s="6" t="n">
        <v>43</v>
      </c>
      <c r="B44" s="34" t="s">
        <v>136</v>
      </c>
      <c r="C44" s="35" t="s">
        <v>10</v>
      </c>
      <c r="D44" s="36" t="s">
        <v>11</v>
      </c>
      <c r="E44" s="37" t="s">
        <v>137</v>
      </c>
      <c r="F44" s="36" t="s">
        <v>13</v>
      </c>
      <c r="G44" s="38" t="n">
        <v>2000</v>
      </c>
      <c r="H44" s="39" t="n">
        <v>20</v>
      </c>
      <c r="I44" s="13" t="n">
        <f aca="false">G44*H44</f>
        <v>40000</v>
      </c>
      <c r="J44" s="22" t="s">
        <v>135</v>
      </c>
    </row>
    <row r="45" customFormat="false" ht="25.35" hidden="false" customHeight="false" outlineLevel="0" collapsed="false">
      <c r="A45" s="6" t="n">
        <v>44</v>
      </c>
      <c r="B45" s="34" t="s">
        <v>138</v>
      </c>
      <c r="C45" s="35" t="s">
        <v>10</v>
      </c>
      <c r="D45" s="36" t="s">
        <v>11</v>
      </c>
      <c r="E45" s="37" t="s">
        <v>139</v>
      </c>
      <c r="F45" s="36" t="s">
        <v>13</v>
      </c>
      <c r="G45" s="38" t="n">
        <v>2000</v>
      </c>
      <c r="H45" s="39" t="n">
        <v>20</v>
      </c>
      <c r="I45" s="13" t="n">
        <f aca="false">G45*H45</f>
        <v>40000</v>
      </c>
      <c r="J45" s="22" t="s">
        <v>140</v>
      </c>
    </row>
    <row r="46" customFormat="false" ht="25.35" hidden="false" customHeight="false" outlineLevel="0" collapsed="false">
      <c r="A46" s="6" t="n">
        <v>45</v>
      </c>
      <c r="B46" s="25" t="s">
        <v>141</v>
      </c>
      <c r="C46" s="27" t="s">
        <v>10</v>
      </c>
      <c r="D46" s="9" t="s">
        <v>11</v>
      </c>
      <c r="E46" s="17" t="s">
        <v>142</v>
      </c>
      <c r="F46" s="9" t="s">
        <v>13</v>
      </c>
      <c r="G46" s="30" t="n">
        <v>44000</v>
      </c>
      <c r="H46" s="18" t="n">
        <v>20</v>
      </c>
      <c r="I46" s="13" t="n">
        <f aca="false">G46*H46</f>
        <v>880000</v>
      </c>
      <c r="J46" s="22" t="s">
        <v>143</v>
      </c>
    </row>
    <row r="47" customFormat="false" ht="25.35" hidden="false" customHeight="false" outlineLevel="0" collapsed="false">
      <c r="A47" s="6" t="n">
        <v>46</v>
      </c>
      <c r="B47" s="25" t="s">
        <v>144</v>
      </c>
      <c r="C47" s="27" t="s">
        <v>145</v>
      </c>
      <c r="D47" s="9" t="s">
        <v>11</v>
      </c>
      <c r="E47" s="17" t="s">
        <v>146</v>
      </c>
      <c r="F47" s="9" t="s">
        <v>13</v>
      </c>
      <c r="G47" s="30" t="n">
        <v>40000</v>
      </c>
      <c r="H47" s="18" t="n">
        <v>20</v>
      </c>
      <c r="I47" s="13" t="n">
        <f aca="false">G47*H47</f>
        <v>800000</v>
      </c>
      <c r="J47" s="22" t="s">
        <v>147</v>
      </c>
    </row>
    <row r="48" customFormat="false" ht="120.85" hidden="false" customHeight="false" outlineLevel="0" collapsed="false">
      <c r="A48" s="6" t="n">
        <v>47</v>
      </c>
      <c r="B48" s="25" t="s">
        <v>148</v>
      </c>
      <c r="C48" s="27" t="s">
        <v>10</v>
      </c>
      <c r="D48" s="9" t="s">
        <v>11</v>
      </c>
      <c r="E48" s="17" t="s">
        <v>149</v>
      </c>
      <c r="F48" s="9" t="s">
        <v>13</v>
      </c>
      <c r="G48" s="30" t="n">
        <v>40000</v>
      </c>
      <c r="H48" s="18" t="n">
        <v>40</v>
      </c>
      <c r="I48" s="13" t="n">
        <f aca="false">G48*H48</f>
        <v>1600000</v>
      </c>
      <c r="J48" s="22" t="s">
        <v>150</v>
      </c>
    </row>
    <row r="49" customFormat="false" ht="49.25" hidden="false" customHeight="false" outlineLevel="0" collapsed="false">
      <c r="A49" s="6" t="n">
        <v>48</v>
      </c>
      <c r="B49" s="25" t="s">
        <v>151</v>
      </c>
      <c r="C49" s="27" t="s">
        <v>57</v>
      </c>
      <c r="D49" s="9" t="s">
        <v>11</v>
      </c>
      <c r="E49" s="17" t="s">
        <v>152</v>
      </c>
      <c r="F49" s="9" t="s">
        <v>13</v>
      </c>
      <c r="G49" s="40" t="n">
        <v>850000</v>
      </c>
      <c r="H49" s="18" t="n">
        <v>4</v>
      </c>
      <c r="I49" s="13" t="n">
        <f aca="false">G49*H49</f>
        <v>3400000</v>
      </c>
      <c r="J49" s="22" t="s">
        <v>153</v>
      </c>
    </row>
    <row r="50" customFormat="false" ht="73.1" hidden="false" customHeight="false" outlineLevel="0" collapsed="false">
      <c r="A50" s="6" t="n">
        <v>49</v>
      </c>
      <c r="B50" s="25" t="s">
        <v>154</v>
      </c>
      <c r="C50" s="27" t="s">
        <v>10</v>
      </c>
      <c r="D50" s="9" t="s">
        <v>11</v>
      </c>
      <c r="E50" s="17" t="s">
        <v>155</v>
      </c>
      <c r="F50" s="9" t="s">
        <v>13</v>
      </c>
      <c r="G50" s="41" t="n">
        <v>80000</v>
      </c>
      <c r="H50" s="18" t="n">
        <v>80</v>
      </c>
      <c r="I50" s="13" t="n">
        <f aca="false">G50*H50</f>
        <v>6400000</v>
      </c>
      <c r="J50" s="22" t="s">
        <v>156</v>
      </c>
    </row>
    <row r="51" customFormat="false" ht="73.1" hidden="false" customHeight="false" outlineLevel="0" collapsed="false">
      <c r="A51" s="6" t="n">
        <v>50</v>
      </c>
      <c r="B51" s="25" t="s">
        <v>157</v>
      </c>
      <c r="C51" s="27" t="s">
        <v>10</v>
      </c>
      <c r="D51" s="9" t="s">
        <v>11</v>
      </c>
      <c r="E51" s="17" t="s">
        <v>158</v>
      </c>
      <c r="F51" s="9" t="s">
        <v>13</v>
      </c>
      <c r="G51" s="41" t="n">
        <v>20000</v>
      </c>
      <c r="H51" s="18" t="n">
        <v>80</v>
      </c>
      <c r="I51" s="13" t="n">
        <f aca="false">G51*H51</f>
        <v>1600000</v>
      </c>
      <c r="J51" s="22" t="s">
        <v>159</v>
      </c>
    </row>
    <row r="52" customFormat="false" ht="37.3" hidden="false" customHeight="false" outlineLevel="0" collapsed="false">
      <c r="A52" s="6" t="n">
        <v>51</v>
      </c>
      <c r="B52" s="25" t="s">
        <v>160</v>
      </c>
      <c r="C52" s="27" t="s">
        <v>10</v>
      </c>
      <c r="D52" s="9" t="s">
        <v>11</v>
      </c>
      <c r="E52" s="17" t="s">
        <v>161</v>
      </c>
      <c r="F52" s="9" t="s">
        <v>13</v>
      </c>
      <c r="G52" s="30" t="n">
        <v>20000</v>
      </c>
      <c r="H52" s="32" t="n">
        <v>40</v>
      </c>
      <c r="I52" s="13" t="n">
        <f aca="false">G52*H52</f>
        <v>800000</v>
      </c>
      <c r="J52" s="22" t="s">
        <v>162</v>
      </c>
    </row>
    <row r="53" customFormat="false" ht="73.1" hidden="false" customHeight="false" outlineLevel="0" collapsed="false">
      <c r="A53" s="6" t="n">
        <v>52</v>
      </c>
      <c r="B53" s="25" t="s">
        <v>163</v>
      </c>
      <c r="C53" s="27" t="s">
        <v>86</v>
      </c>
      <c r="D53" s="9" t="s">
        <v>11</v>
      </c>
      <c r="E53" s="17" t="s">
        <v>164</v>
      </c>
      <c r="F53" s="9" t="s">
        <v>13</v>
      </c>
      <c r="G53" s="30" t="n">
        <v>20000</v>
      </c>
      <c r="H53" s="32" t="n">
        <v>40</v>
      </c>
      <c r="I53" s="13" t="n">
        <f aca="false">G53*H53</f>
        <v>800000</v>
      </c>
      <c r="J53" s="22" t="s">
        <v>165</v>
      </c>
    </row>
    <row r="54" customFormat="false" ht="73.1" hidden="false" customHeight="false" outlineLevel="0" collapsed="false">
      <c r="A54" s="6" t="n">
        <v>53</v>
      </c>
      <c r="B54" s="25" t="s">
        <v>166</v>
      </c>
      <c r="C54" s="27" t="s">
        <v>86</v>
      </c>
      <c r="D54" s="9" t="s">
        <v>11</v>
      </c>
      <c r="E54" s="17" t="s">
        <v>167</v>
      </c>
      <c r="F54" s="9" t="s">
        <v>13</v>
      </c>
      <c r="G54" s="30" t="n">
        <v>15000</v>
      </c>
      <c r="H54" s="32" t="n">
        <v>40</v>
      </c>
      <c r="I54" s="13" t="n">
        <f aca="false">G54*H54</f>
        <v>600000</v>
      </c>
      <c r="J54" s="22" t="s">
        <v>168</v>
      </c>
    </row>
    <row r="55" customFormat="false" ht="85.05" hidden="false" customHeight="false" outlineLevel="0" collapsed="false">
      <c r="A55" s="6" t="n">
        <v>54</v>
      </c>
      <c r="B55" s="25" t="s">
        <v>169</v>
      </c>
      <c r="C55" s="27" t="s">
        <v>86</v>
      </c>
      <c r="D55" s="9" t="s">
        <v>170</v>
      </c>
      <c r="E55" s="17" t="s">
        <v>171</v>
      </c>
      <c r="F55" s="9" t="s">
        <v>13</v>
      </c>
      <c r="G55" s="30" t="n">
        <v>20000</v>
      </c>
      <c r="H55" s="32" t="n">
        <v>40</v>
      </c>
      <c r="I55" s="13" t="n">
        <f aca="false">G55*H55</f>
        <v>800000</v>
      </c>
      <c r="J55" s="22" t="s">
        <v>172</v>
      </c>
    </row>
    <row r="56" customFormat="false" ht="120.85" hidden="false" customHeight="false" outlineLevel="0" collapsed="false">
      <c r="A56" s="6" t="n">
        <v>55</v>
      </c>
      <c r="B56" s="25" t="s">
        <v>173</v>
      </c>
      <c r="C56" s="27" t="s">
        <v>86</v>
      </c>
      <c r="D56" s="9" t="s">
        <v>11</v>
      </c>
      <c r="E56" s="17" t="s">
        <v>174</v>
      </c>
      <c r="F56" s="9" t="s">
        <v>13</v>
      </c>
      <c r="G56" s="30" t="n">
        <v>3000</v>
      </c>
      <c r="H56" s="18" t="n">
        <v>30</v>
      </c>
      <c r="I56" s="13" t="n">
        <f aca="false">G56*H56</f>
        <v>90000</v>
      </c>
      <c r="J56" s="22" t="s">
        <v>175</v>
      </c>
    </row>
    <row r="57" customFormat="false" ht="16.4" hidden="false" customHeight="false" outlineLevel="0" collapsed="false">
      <c r="A57" s="6" t="n">
        <v>56</v>
      </c>
      <c r="B57" s="19" t="s">
        <v>176</v>
      </c>
      <c r="C57" s="42" t="s">
        <v>177</v>
      </c>
      <c r="D57" s="9" t="s">
        <v>11</v>
      </c>
      <c r="E57" s="17"/>
      <c r="F57" s="9" t="s">
        <v>13</v>
      </c>
      <c r="G57" s="30" t="n">
        <v>50000</v>
      </c>
      <c r="H57" s="18" t="n">
        <v>2</v>
      </c>
      <c r="I57" s="13" t="n">
        <f aca="false">G57*H57</f>
        <v>100000</v>
      </c>
      <c r="J57" s="22" t="s">
        <v>178</v>
      </c>
    </row>
    <row r="58" customFormat="false" ht="16.4" hidden="false" customHeight="false" outlineLevel="0" collapsed="false">
      <c r="A58" s="6" t="n">
        <v>57</v>
      </c>
      <c r="B58" s="31" t="s">
        <v>179</v>
      </c>
      <c r="C58" s="42" t="s">
        <v>177</v>
      </c>
      <c r="D58" s="9" t="s">
        <v>11</v>
      </c>
      <c r="E58" s="17"/>
      <c r="F58" s="9" t="s">
        <v>180</v>
      </c>
      <c r="G58" s="30" t="n">
        <v>85000</v>
      </c>
      <c r="H58" s="18" t="n">
        <v>2</v>
      </c>
      <c r="I58" s="13" t="n">
        <f aca="false">G58*H58</f>
        <v>170000</v>
      </c>
      <c r="J58" s="22" t="s">
        <v>181</v>
      </c>
    </row>
    <row r="59" customFormat="false" ht="73.1" hidden="false" customHeight="false" outlineLevel="0" collapsed="false">
      <c r="A59" s="6" t="n">
        <v>58</v>
      </c>
      <c r="B59" s="31" t="s">
        <v>182</v>
      </c>
      <c r="C59" s="27" t="s">
        <v>106</v>
      </c>
      <c r="D59" s="9" t="s">
        <v>11</v>
      </c>
      <c r="E59" s="17" t="s">
        <v>183</v>
      </c>
      <c r="F59" s="9" t="s">
        <v>13</v>
      </c>
      <c r="G59" s="30" t="n">
        <v>2000</v>
      </c>
      <c r="H59" s="18" t="n">
        <v>180</v>
      </c>
      <c r="I59" s="13" t="n">
        <f aca="false">G59*H59</f>
        <v>360000</v>
      </c>
      <c r="J59" s="22" t="s">
        <v>184</v>
      </c>
    </row>
    <row r="60" customFormat="false" ht="108.95" hidden="false" customHeight="false" outlineLevel="0" collapsed="false">
      <c r="A60" s="6" t="n">
        <v>59</v>
      </c>
      <c r="B60" s="31" t="s">
        <v>185</v>
      </c>
      <c r="C60" s="27" t="s">
        <v>106</v>
      </c>
      <c r="D60" s="9" t="s">
        <v>11</v>
      </c>
      <c r="E60" s="17" t="s">
        <v>186</v>
      </c>
      <c r="F60" s="9" t="s">
        <v>13</v>
      </c>
      <c r="G60" s="30" t="n">
        <v>2000</v>
      </c>
      <c r="H60" s="18" t="n">
        <v>50</v>
      </c>
      <c r="I60" s="13" t="n">
        <f aca="false">G60*H60</f>
        <v>100000</v>
      </c>
      <c r="J60" s="22" t="s">
        <v>187</v>
      </c>
    </row>
    <row r="61" customFormat="false" ht="108.95" hidden="false" customHeight="false" outlineLevel="0" collapsed="false">
      <c r="A61" s="6" t="n">
        <v>60</v>
      </c>
      <c r="B61" s="31" t="s">
        <v>188</v>
      </c>
      <c r="C61" s="27" t="s">
        <v>106</v>
      </c>
      <c r="D61" s="9" t="s">
        <v>11</v>
      </c>
      <c r="E61" s="17" t="s">
        <v>186</v>
      </c>
      <c r="F61" s="9" t="s">
        <v>13</v>
      </c>
      <c r="G61" s="30" t="n">
        <v>2000</v>
      </c>
      <c r="H61" s="18" t="n">
        <v>50</v>
      </c>
      <c r="I61" s="13" t="n">
        <f aca="false">G61*H61</f>
        <v>100000</v>
      </c>
      <c r="J61" s="22" t="s">
        <v>189</v>
      </c>
    </row>
    <row r="62" customFormat="false" ht="49.25" hidden="false" customHeight="false" outlineLevel="0" collapsed="false">
      <c r="A62" s="6" t="n">
        <v>61</v>
      </c>
      <c r="B62" s="43" t="s">
        <v>190</v>
      </c>
      <c r="C62" s="44" t="s">
        <v>16</v>
      </c>
      <c r="D62" s="9" t="s">
        <v>170</v>
      </c>
      <c r="E62" s="17" t="s">
        <v>191</v>
      </c>
      <c r="F62" s="9" t="s">
        <v>13</v>
      </c>
      <c r="G62" s="30" t="n">
        <v>62000</v>
      </c>
      <c r="H62" s="18" t="n">
        <v>17</v>
      </c>
      <c r="I62" s="13" t="n">
        <f aca="false">G62*H62</f>
        <v>1054000</v>
      </c>
      <c r="J62" s="22" t="s">
        <v>192</v>
      </c>
    </row>
    <row r="63" customFormat="false" ht="85.05" hidden="false" customHeight="false" outlineLevel="0" collapsed="false">
      <c r="A63" s="6" t="n">
        <v>62</v>
      </c>
      <c r="B63" s="45" t="s">
        <v>193</v>
      </c>
      <c r="C63" s="44" t="s">
        <v>16</v>
      </c>
      <c r="D63" s="9" t="s">
        <v>170</v>
      </c>
      <c r="E63" s="17" t="s">
        <v>194</v>
      </c>
      <c r="F63" s="9" t="s">
        <v>13</v>
      </c>
      <c r="G63" s="30" t="n">
        <v>90000</v>
      </c>
      <c r="H63" s="18" t="n">
        <v>17</v>
      </c>
      <c r="I63" s="13" t="n">
        <f aca="false">G63*H63</f>
        <v>1530000</v>
      </c>
      <c r="J63" s="22" t="s">
        <v>195</v>
      </c>
    </row>
    <row r="64" customFormat="false" ht="49.25" hidden="false" customHeight="false" outlineLevel="0" collapsed="false">
      <c r="A64" s="6" t="n">
        <v>63</v>
      </c>
      <c r="B64" s="45" t="s">
        <v>196</v>
      </c>
      <c r="C64" s="44" t="s">
        <v>16</v>
      </c>
      <c r="D64" s="9" t="s">
        <v>170</v>
      </c>
      <c r="E64" s="17" t="s">
        <v>197</v>
      </c>
      <c r="F64" s="9" t="s">
        <v>13</v>
      </c>
      <c r="G64" s="30" t="n">
        <v>103500</v>
      </c>
      <c r="H64" s="18" t="n">
        <v>17</v>
      </c>
      <c r="I64" s="13" t="n">
        <f aca="false">G64*H64</f>
        <v>1759500</v>
      </c>
      <c r="J64" s="22" t="s">
        <v>198</v>
      </c>
    </row>
    <row r="65" customFormat="false" ht="61.15" hidden="false" customHeight="false" outlineLevel="0" collapsed="false">
      <c r="A65" s="6" t="n">
        <v>64</v>
      </c>
      <c r="B65" s="46" t="s">
        <v>199</v>
      </c>
      <c r="C65" s="44" t="s">
        <v>10</v>
      </c>
      <c r="D65" s="9" t="s">
        <v>11</v>
      </c>
      <c r="E65" s="17" t="s">
        <v>200</v>
      </c>
      <c r="F65" s="9" t="s">
        <v>13</v>
      </c>
      <c r="G65" s="30" t="n">
        <v>25000</v>
      </c>
      <c r="H65" s="18" t="n">
        <v>5</v>
      </c>
      <c r="I65" s="13" t="n">
        <f aca="false">G65*H65</f>
        <v>125000</v>
      </c>
      <c r="J65" s="22" t="s">
        <v>201</v>
      </c>
    </row>
    <row r="66" customFormat="false" ht="61.15" hidden="false" customHeight="false" outlineLevel="0" collapsed="false">
      <c r="A66" s="6" t="n">
        <v>65</v>
      </c>
      <c r="B66" s="46" t="s">
        <v>202</v>
      </c>
      <c r="C66" s="44" t="s">
        <v>203</v>
      </c>
      <c r="D66" s="9" t="s">
        <v>11</v>
      </c>
      <c r="E66" s="17" t="s">
        <v>204</v>
      </c>
      <c r="F66" s="9" t="s">
        <v>13</v>
      </c>
      <c r="G66" s="11" t="n">
        <v>30000</v>
      </c>
      <c r="H66" s="18" t="n">
        <v>5</v>
      </c>
      <c r="I66" s="13" t="n">
        <f aca="false">G66*H66</f>
        <v>150000</v>
      </c>
      <c r="J66" s="22" t="s">
        <v>205</v>
      </c>
    </row>
    <row r="67" customFormat="false" ht="25.35" hidden="false" customHeight="false" outlineLevel="0" collapsed="false">
      <c r="A67" s="6" t="n">
        <v>66</v>
      </c>
      <c r="B67" s="47" t="s">
        <v>206</v>
      </c>
      <c r="C67" s="48" t="s">
        <v>74</v>
      </c>
      <c r="D67" s="9" t="s">
        <v>11</v>
      </c>
      <c r="E67" s="17"/>
      <c r="F67" s="9" t="s">
        <v>13</v>
      </c>
      <c r="G67" s="30" t="n">
        <v>50000</v>
      </c>
      <c r="H67" s="18" t="n">
        <v>3</v>
      </c>
      <c r="I67" s="13" t="n">
        <f aca="false">G67*H67</f>
        <v>150000</v>
      </c>
    </row>
    <row r="68" customFormat="false" ht="15" hidden="false" customHeight="false" outlineLevel="0" collapsed="false">
      <c r="A68" s="6" t="n">
        <v>67</v>
      </c>
      <c r="B68" s="47" t="s">
        <v>207</v>
      </c>
      <c r="C68" s="48" t="s">
        <v>74</v>
      </c>
      <c r="D68" s="9" t="s">
        <v>11</v>
      </c>
      <c r="E68" s="17"/>
      <c r="F68" s="9" t="s">
        <v>13</v>
      </c>
      <c r="G68" s="30" t="n">
        <v>70000</v>
      </c>
      <c r="H68" s="18" t="n">
        <v>3</v>
      </c>
      <c r="I68" s="13" t="n">
        <f aca="false">G68*H68</f>
        <v>210000</v>
      </c>
    </row>
    <row r="69" customFormat="false" ht="25.35" hidden="false" customHeight="false" outlineLevel="0" collapsed="false">
      <c r="A69" s="6" t="n">
        <v>68</v>
      </c>
      <c r="B69" s="49" t="s">
        <v>208</v>
      </c>
      <c r="C69" s="50" t="s">
        <v>74</v>
      </c>
      <c r="D69" s="9" t="s">
        <v>11</v>
      </c>
      <c r="E69" s="17"/>
      <c r="F69" s="9" t="s">
        <v>13</v>
      </c>
      <c r="G69" s="30" t="n">
        <v>400000</v>
      </c>
      <c r="H69" s="18" t="n">
        <v>3</v>
      </c>
      <c r="I69" s="13" t="n">
        <f aca="false">G69*H69</f>
        <v>1200000</v>
      </c>
    </row>
    <row r="70" customFormat="false" ht="15" hidden="false" customHeight="false" outlineLevel="0" collapsed="false">
      <c r="A70" s="51" t="s">
        <v>209</v>
      </c>
      <c r="B70" s="51"/>
      <c r="C70" s="52"/>
      <c r="D70" s="52"/>
      <c r="E70" s="53"/>
      <c r="F70" s="52"/>
      <c r="G70" s="54"/>
      <c r="H70" s="55"/>
      <c r="I70" s="56" t="n">
        <f aca="false">SUM(I2:I69)</f>
        <v>80271500</v>
      </c>
    </row>
    <row r="71" customFormat="false" ht="15" hidden="false" customHeight="false" outlineLevel="0" collapsed="false">
      <c r="A71" s="57" t="s">
        <v>210</v>
      </c>
      <c r="B71" s="57"/>
      <c r="C71" s="58"/>
      <c r="D71" s="58"/>
      <c r="E71" s="59"/>
      <c r="F71" s="58"/>
      <c r="G71" s="60"/>
      <c r="H71" s="61"/>
      <c r="I71" s="62" t="n">
        <f aca="false">I70*8/100</f>
        <v>6421720</v>
      </c>
    </row>
    <row r="72" customFormat="false" ht="15" hidden="false" customHeight="false" outlineLevel="0" collapsed="false">
      <c r="A72" s="63"/>
      <c r="B72" s="64" t="s">
        <v>211</v>
      </c>
      <c r="C72" s="65"/>
      <c r="D72" s="65"/>
      <c r="E72" s="66"/>
      <c r="F72" s="65"/>
      <c r="G72" s="67"/>
      <c r="H72" s="68"/>
      <c r="I72" s="67" t="n">
        <f aca="false">SUM(I70:I71)</f>
        <v>86693220</v>
      </c>
    </row>
    <row r="1048576" customFormat="false" ht="12.8" hidden="false" customHeight="false" outlineLevel="0" collapsed="false"/>
  </sheetData>
  <mergeCells count="2">
    <mergeCell ref="A70:B70"/>
    <mergeCell ref="A71:B71"/>
  </mergeCells>
  <conditionalFormatting sqref="B69 B22:B26">
    <cfRule type="duplicateValues" priority="2" aboveAverage="0" equalAverage="0" bottom="0" percent="0" rank="0" text="" dxfId="0"/>
  </conditionalFormatting>
  <conditionalFormatting sqref="B3:B4">
    <cfRule type="duplicateValues" priority="3" aboveAverage="0" equalAverage="0" bottom="0" percent="0" rank="0" text="" dxfId="1"/>
    <cfRule type="duplicateValues" priority="4" aboveAverage="0" equalAverage="0" bottom="0" percent="0" rank="0" text="" dxfId="2"/>
  </conditionalFormatting>
  <hyperlinks>
    <hyperlink ref="J7" r:id="rId1" display="https://codienhaiau.com/product/day-dien-don-mem-cadivi-vcm-0-75-den/"/>
    <hyperlink ref="J8" r:id="rId2" display="https://codienhaiau.com/product/day-dien-don-mem-cadivi-vcm-0-75-den/"/>
    <hyperlink ref="J9" r:id="rId3" display="https://tamviet.pro/cau-dau-25a-12p/?srsltid=AfmBOor7ThyVP5RvtJR6LOMUhEy3hGWnBfSWA-JrPEH8LTGWVvxQLGic"/>
    <hyperlink ref="J10" r:id="rId4" display="https://shopee.vn/product/95405680/26409615111?gads_t_sig=VTJGc2RHVmtYMTlxTFVSVVRrdENkUzJYdkg4SUFId3huV3BOemxRSlQvQm5uZEZkR1RzNlFUS1VERHltS3g3eWw0WXl1ZG41TFFoaEhwbmcyanlCcS9UTTRnTE8wdUlhb1Yrd0NUZUFMRFR2c2h2Rm5iSzJlYUlBUnRHdllnT3Q&amp;gad_source=1&amp;gad_campaign"/>
    <hyperlink ref="J11" r:id="rId5" display="https://vnecco.com/mang-nhua-35x35-dai-2-met-cn?gad_source=1&amp;gad_campaignid=10907929415&amp;gbraid=0AAAAAC6WZJOPWnAl0kgUd2BvAH0zrEjQn&amp;gclid=CjwKCAiAvaLLBhBFEiwAYCNTf6AmqnzadrHuzDWaRjoREsuKpD60ep0rxW_vRU1rIvpvXrbVEKneehoCoIwQAvD_BwE"/>
    <hyperlink ref="J12" r:id="rId6" display="https://dientutuyetnga.com/products/cong-tac-2-chau"/>
    <hyperlink ref="J13" r:id="rId7" display="https://dientutuyetnga.com/products/cong-tac-2-chau"/>
    <hyperlink ref="J14" r:id="rId8" display="https://thietbidienphunguyen.com/san-pham/thiet-bi-dien/mat-4-cong-tac-s184-x-sino.html"/>
    <hyperlink ref="J15" r:id="rId9" display="https://thietbidienphunguyen.com/san-pham/thiet-bi-dien/mat-o-don-1-cong-tac-s18ux-sino.html"/>
    <hyperlink ref="J16" r:id="rId10" display="https://kamytools.com/bang-keo-dien-nano-to-nga-dung-5milx3-4-x20y-ban-le-1-cuon?srsltid=AfmBOoqgdWzgWYRtMz2hfP_cOcHbhIgD7h3KP_j6w5tCS1dq-lAQlFLQ"/>
    <hyperlink ref="J17" r:id="rId11" display="https://codienhaiau.com/product/day-dien-doi-cadivi-vcmd-2x1-do/"/>
    <hyperlink ref="J19" r:id="rId12" display="https://www.thegioiic.com/ong-gen-chiu-nhiet-1mm"/>
    <hyperlink ref="J20" r:id="rId13" display="https://shopee.vn/product/18667217/2180819310?gads_t_sig=VTJGc2RHVmtYMTlxTFVSVVRrdENkZExrZG1KbGNQZ3dJbEMwUStXSm5ZcUdKQlRaTFBlc2xxNjkrTGMwQ3RoTXp1NzlHQk5xODVPMUtIUnZRMVFPTWRyclZyRS85UlJxUFBqYmdjdXBFb1NwUUFYR2FoWjdqTVNKRjFVaFR3N0g&amp;gad_source=1&amp;gad_campaigni"/>
    <hyperlink ref="J21" r:id="rId14" display="https://www.thegioiic.com/ong-gen-chiu-nhiet-1mm"/>
    <hyperlink ref="J22" r:id="rId15" display="https://www.thegioiic.com/ong-gen-chiu-nhiet-1mm"/>
    <hyperlink ref="J25" r:id="rId16" display="https://nhandaithanh.com/products/bo-2-pin-aaa-than-tieu-den-panasonic-neo-r03nt-2s-v9?ref=haraads&amp;utm_campaign=haraads&amp;utm_medium=paid&amp;utm_source=google&amp;gad_source=1&amp;gad_campaignid=22259962467&amp;gbraid=0AAAAADuztKadsLeGkjMonMPdwc1bfmMMV&amp;gclid=CjwKCAiAvaLLB"/>
    <hyperlink ref="J26" r:id="rId17" display="https://linhkienquynhdien.com/giay-xanh-giay-cach-dien-day-0-1mm"/>
    <hyperlink ref="J27" r:id="rId18" display="https://www.thegioiic.com/led-do-5mm-dau-bang-trong-suot"/>
    <hyperlink ref="J28" r:id="rId19" display="https://dientunhattung.com/san-pham/dien-tro-100k-1-4w-5-mau-dien-tro-1-4w-10con/"/>
    <hyperlink ref="J29" r:id="rId20" display="https://robocon.vn/detail/dt43-dien-tro-cam-10k-ohm-10kr-12w.html"/>
    <hyperlink ref="J30" r:id="rId21" display="https://www.thegioiic.com/dien-tro-1-kohm-1-4w-5-4-vong-mau"/>
    <hyperlink ref="J31" r:id="rId22" display="https://icdayroi.com/dien-tro-330-ohm-1-4w-goi-50-con"/>
    <hyperlink ref="J34" r:id="rId23" display="https://www.thegioiic.com/ha17555-ic-precision-timer-8-dip"/>
    <hyperlink ref="J35" r:id="rId24" display="https://dientutuonglai.com/ic-74ls00-dip14.html"/>
    <hyperlink ref="J36" r:id="rId25" display="https://www.linhkienchatluong.vn/urlic-ho-74---ic-logic/74ls08-sn74ls08n-dip-14-chinh-hang-ti_sp550_ct2228.aspx"/>
    <hyperlink ref="J37" r:id="rId26" display="https://www.thegioiic.com/74ls164-ic-shift-register-1-element-8-bit-push-pull-14-soic"/>
    <hyperlink ref="J38" r:id="rId27" display="https://dientunhattung.com/san-pham/ic-so-sn74ls86-cong-xor-ic-cong-logic-2-input-dip/"/>
    <hyperlink ref="J39" r:id="rId28" display="https://dientutuyetnga.com/products/nhan-ban-cua-ic-dan-4013"/>
    <hyperlink ref="J40" r:id="rId29" display="https://dientutuyetnga.com/products/nhan-ban-cua-ic-dan-4013"/>
    <hyperlink ref="J41" r:id="rId30" display="https://dientutuyetnga.com/products/nhan-ban-cua-ic-dan-4013"/>
    <hyperlink ref="J42" r:id="rId31" display="https://baa.vn/vn/san-pham/ro-le-ban-dan-cho-thiet-bi-gia-nhiet-fotek-ssr-40da-h_489142"/>
    <hyperlink ref="J43" r:id="rId32" display="https://www.thegioiic.com/de-ic-8-chan-vuong-hep-hai-hang-1a-60vac"/>
    <hyperlink ref="J44" r:id="rId33" display="https://www.thegioiic.com/de-ic-8-chan-vuong-hep-hai-hang-1a-60vac"/>
    <hyperlink ref="J45" r:id="rId34" display="https://dientutuyetnga.com/products/de-ic-16-chan-vuong-dip16"/>
    <hyperlink ref="J46" r:id="rId35" display="https://dientutuonglai.com/board-test-gl-no-12-175-67-9mm.html"/>
    <hyperlink ref="J47" r:id="rId36" display="https://caka.vn/day-cam-test-board-nhieu-kich-co-65-soi-duc-duc"/>
    <hyperlink ref="J48" r:id="rId37" display="https://icdayroi.com/de-test-board-bread-board-165x54mm"/>
    <hyperlink ref="J49" r:id="rId38" display="https://www.thegioiic.com/thiec-han-0-6-sn99-3-cu0-7-800g-xty"/>
    <hyperlink ref="J50" r:id="rId39" display="https://linhkienthanhcong.com/tu-hoa-epcos-1000uf-450v-30x70mm"/>
    <hyperlink ref="J51" r:id="rId40" display="https://www.thegioiic.com/tu-hoa-4700uf-35v-18x32mm-xuyen-lo"/>
    <hyperlink ref="J52" r:id="rId41" display="https://dientukhaidinh.com/cong-tac-nut-nhan-nha-reset-5-huong-da-dung-10x10mm-6p-10p-nhieu-kieu-dang-kde8582"/>
    <hyperlink ref="J53" r:id="rId42" display="https://chipn24.com/dip-ic-7414-74hc14-dip-14-74hc14n-ic-cong-not-schitt-trigger-6-cong-not-id769.html"/>
    <hyperlink ref="J54" r:id="rId43" display="https://banlinhkiendientu.vn/sn74hc14n/?gad_source=1&amp;gad_campaignid=8191264750&amp;gbraid=0AAAAADlkY95EJF2S_JNRu012I94DBRoEm&amp;gclid=CjwKCAiAvaLLBhBFEiwAYCNTf-OWjCrvjfL2p0OgPLMszOOdqy4xo9lOb5s5xYZ0pFRCPupdgznbWRoCGjQQAvD_BwE"/>
    <hyperlink ref="J55" r:id="rId44" display="https://dientutuonglai.com/ic-74ls74-dip14.html"/>
    <hyperlink ref="J56" r:id="rId45" display="https://banlinhkiendientu.vn/chiet-ap-tinh-chinh-rm065-100k/?gad_source=1&amp;gad_campaignid=8191264750&amp;gbraid=0AAAAADlkY95EJF2S_JNRu012I94DBRoEm&amp;gclid=CjwKCAiAvaLLBhBFEiwAYCNTf3oIpJae7liJJ5udUxF0B4m7nrXWalE1r_poT8AXhYZQG339yEFeVRoCsG8QAvD_BwE"/>
    <hyperlink ref="J57" r:id="rId46" display="https://hoachatvietlong.vn/san-pham/xang-pha-son-sat-ma-kem-son-dau-son-epoxy/"/>
    <hyperlink ref="J58" r:id="rId47" display="https://nhathuoclongchau.com.vn/trang-thiet-bi-y-te/con-90-do-vp-500ml-18093.html"/>
    <hyperlink ref="J59" r:id="rId48" display="https://linhkienchatluong.vn/diode-chinh-luu/1n4007-diode-chinh-luu-1a-1000v-chan-to-07x58mm-chinh-hang-mic-10c_sp572_ct6892.aspx"/>
    <hyperlink ref="J60" r:id="rId49" display="https://linhkienchatluong.vn/ic-on-ap/a1013-2sa1013-pnp-transistor-1a-160v-sot-89-chinh-hang-jcet_sp1000_ct17052.aspx"/>
    <hyperlink ref="J61" r:id="rId50" display="https://banlinhkiendientu.vn/a1013/?srsltid=AfmBOoqfbV33DalIewNgdgNc45C6BXlejizux0ChPgajlXVVU3EK8M1g"/>
    <hyperlink ref="J62" r:id="rId51" display="http://kimloaimau.net/cuon-ong-dong-do-phi-6.35x0.71mm-8367"/>
    <hyperlink ref="J63" r:id="rId52" display="https://vattunganhlanh.vn/thong-tin-san-pham/ong-dong-thai-lan-phi-10-cuon-15m/"/>
    <hyperlink ref="J64" r:id="rId53" display="https://vattudienlanhgiare.net/san-pham/Ong-dong-may-lanh-phi-12-Luvata-LHCT-1343.html"/>
    <hyperlink ref="J65" r:id="rId54" display="https://dienmayhaianh.vn/san-pham/ti-nap-gas-lanh-3172.html"/>
    <hyperlink ref="J66" r:id="rId55" display="https://lanh.com.vn/san-pham/tiet-luu-cap-ong-mao/"/>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2026-01-15T06:09:41Z</dcterms:created>
  <dc:creator>Dell OPT 3020</dc:creator>
  <dc:description/>
  <dc:language>en-US</dc:language>
  <cp:lastModifiedBy/>
  <dcterms:modified xsi:type="dcterms:W3CDTF">2026-06-08T13:32:44Z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