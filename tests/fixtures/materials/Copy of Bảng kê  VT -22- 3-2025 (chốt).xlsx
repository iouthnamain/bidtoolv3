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120" yWindow="-120" windowWidth="29040" windowHeight="15840"/>
  </bookViews>
  <sheets>
    <sheet name="Tổng hợp" sheetId="6" r:id="rId1"/>
  </sheets>
  <definedNames>
    <definedName name="_xlnm._FilterDatabase" localSheetId="0" hidden="1">'Tổng hợp'!$B$5:$I$221</definedName>
  </definedNames>
  <calcPr calcId="152511"/>
</workbook>
</file>

<file path=xl/calcChain.xml><?xml version="1.0" encoding="utf-8"?>
<calcChain xmlns="http://schemas.openxmlformats.org/spreadsheetml/2006/main">
  <c r="L6" i="6" l="1"/>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5" i="6"/>
  <c r="K369" i="6" l="1"/>
  <c r="K6" i="6" l="1"/>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I445" i="6" l="1"/>
  <c r="I446" i="6" s="1"/>
  <c r="K5" i="6"/>
  <c r="F417" i="6"/>
  <c r="K417" i="6" s="1"/>
  <c r="K622" i="6" l="1"/>
</calcChain>
</file>

<file path=xl/sharedStrings.xml><?xml version="1.0" encoding="utf-8"?>
<sst xmlns="http://schemas.openxmlformats.org/spreadsheetml/2006/main" count="3053" uniqueCount="1438">
  <si>
    <t>TRƯỜNG CAO ĐẲNG CÔNG NGHỆ QUỐC TẾ LILAMA 2</t>
  </si>
  <si>
    <t>BẢNG KÊ VẬT TƯ SINH VIÊN THỰC TẬP NĂM 2025</t>
  </si>
  <si>
    <t>TT</t>
  </si>
  <si>
    <t>Tên Vật tư</t>
  </si>
  <si>
    <t>Thông số kỹ thuật</t>
  </si>
  <si>
    <t>Đơn vị tính</t>
  </si>
  <si>
    <t>Số lượng</t>
  </si>
  <si>
    <t>Nhà sản xuất</t>
  </si>
  <si>
    <t>Xuất xứ</t>
  </si>
  <si>
    <t>Thành tiền</t>
  </si>
  <si>
    <t>Dây điện đơn mềm VCm 0.5mm2</t>
  </si>
  <si>
    <t>Cadivi VCm 0.5 mm2 (xanh)</t>
  </si>
  <si>
    <t>Chất liệu Ruột đồng → cách điện PVC
Tiết diện 0.5 mm2 (16x0.2)
Chiều dày cách điện 0.6 mm
﻿Đường kính tổng﻿ 2.2 mm
Khối lượng 9 kg/km
Mức cách điện 300/500V</t>
  </si>
  <si>
    <t>m</t>
  </si>
  <si>
    <t>Cadivi</t>
  </si>
  <si>
    <t>Việt Nam</t>
  </si>
  <si>
    <t>Lion VCm-0.5 mm2 (đỏ) – 300/500V</t>
  </si>
  <si>
    <t>Dây điện đơn mềm VCm 0.75mm2 xanh</t>
  </si>
  <si>
    <t>Cadivi VCm 0.75mm2, xanh</t>
  </si>
  <si>
    <t>Dây đơn mềm VCm 0.75 mm2</t>
  </si>
  <si>
    <t>Dây điện đơn mềm VCm 0.75mm2 đỏ</t>
  </si>
  <si>
    <t>Cadivi VCm 0.75mm2 đỏ</t>
  </si>
  <si>
    <t>Dây điện đơn mềm VCm 0.75mm2 đen</t>
  </si>
  <si>
    <t>Cadivi VCm 0.75mm đen</t>
  </si>
  <si>
    <t>Dây điện tiếp địa vàng sọc xanh lá VCm0.75</t>
  </si>
  <si>
    <t>VCm-0,75mm2 (Vàng sọc xanh) – 300/500V</t>
  </si>
  <si>
    <t>Chất liệu Ruột đồng → cách điện PVC
Tiết diện 1.0 mm2 (32x0.2)
﻿Chiều dày cách điện﻿ 0.6 mm
﻿Đường kính tổng﻿ 2.6 mm</t>
  </si>
  <si>
    <t>Dây điện đơn mềm VCm 1.0mm2</t>
  </si>
  <si>
    <t>Cadivi VCm 1.0mm, xanh</t>
  </si>
  <si>
    <t>Dây điện đơn mềm VCm 2.5 mm2</t>
  </si>
  <si>
    <t>Lion VCm 2.5mm2, đỏ</t>
  </si>
  <si>
    <t>Thương hiệu: Cadivi
● Loại dây: VCm: Cu/PVC
● Ruột dẫn: Dây đồng</t>
  </si>
  <si>
    <t>Dây điện đơn mềm VCm 1.5mm2 đỏ</t>
  </si>
  <si>
    <t>Cadivi VCm 1.5mm2 đỏ</t>
  </si>
  <si>
    <t>Dây điện đơn mềm VCm 1.5mm2 xanh</t>
  </si>
  <si>
    <t>Cadivi VCm 1.5mm2, xanh</t>
  </si>
  <si>
    <t>Dây điện đơn mềm VCm 1.5mm2 đen</t>
  </si>
  <si>
    <t>Cadivi VCm 1.5mm đen</t>
  </si>
  <si>
    <t>Dây điện đôi 2x24 (2x24/0,2)</t>
  </si>
  <si>
    <t>Loại 2 lõi ruột Đồng VCmd Cu/PVC/PVC
Cấp điện áp ( Uo/U ) : 0,6/1 kV
Lớp cách điện PVC màu đỏ
( màu xanh, trắng vàng, … theo yêu cầu khách hàng )
Vỏ bảo vệ : PVC
Tiết diện danh định : 2 x 0,75 mm²
Kết cấu ( Nº x mm ) : 2 x 24 / 0,2 mm
Chiều dày lớp cách điện : 0,8 mm</t>
  </si>
  <si>
    <t>Dây điện đôi 2x32 mm2</t>
  </si>
  <si>
    <t>Cadivi VCmt 2×1.0 mm2 (2×32/0.2)</t>
  </si>
  <si>
    <t>Tên sản phẩm: dây điện đôi Cadivi 2×32
Loại sản phẩm: Cáp điện lực hạ thế – 0.6/ 1kv.
Chất liệu: Cáp ruột đồng, cách điện PVC, dây đôi.
Nhà sản xuất: Công ty Cổ phần dây cáp điện Việt Nam Cadivi.
Kết cấu: 2 x 32/ 0.20 mm.
Mặt cắt danh nghĩa: 2 x 1.0 mm2.
Chiều dày cách điện: 0.7 mm.
Điện áp danh định: 0.6/ 1kV.
Chiều dài đóng gói: 100 m.</t>
  </si>
  <si>
    <t>Dây cáp điện CVV 5x1.5 mm2, 0.6KV/1KV</t>
  </si>
  <si>
    <t>CVV 5x1.5 mm2, 0.6KV/1KV</t>
  </si>
  <si>
    <t>Cấp điện áp U0/U: 0,6/1 kV.
Rated voltage U0/U: 0,6/1 kV.
Nhiệt độ làm việc dài hạn cho phép của ruột dẫn là 70 0C.
Maximum conductor temperature for normal operation is 70 0C.
Nhiệt độ cực đại cho phép của ruột dẫn khi ngắn mạch trong thời gian không quá 5 giây là 160oC.</t>
  </si>
  <si>
    <t>Cáp Điều Khiển</t>
  </si>
  <si>
    <t>Altek Kabel SH-17525 SH-500 25G 0.75 QMM</t>
  </si>
  <si>
    <t xml:space="preserve">Ruột dẫn: Đồng trần mềm 100% – 30/0.18mm
Số Lõi Dẫn: 25 lõi/ 25 cores/ 25 sợi
Tiết diện lõi dẫn/ Conductor size: 0.75 QMM
Chống nhiễu 2 lớp: Lớp giấy bạc chống nhiễu và lưới đồng trần
Điện áp/ Voltage: 300/500V
Nhiệt độ/ Operation Temperature: -40°C to 70°C
Vỏ ngoài/ Outer jacket, Colour: nhựa PVC, màu xám
</t>
  </si>
  <si>
    <t>Altek Kabel</t>
  </si>
  <si>
    <t>Đức</t>
  </si>
  <si>
    <t>Đầu cốt kim 0.75 mm2 màu đỏ (100 cái/bịch)</t>
  </si>
  <si>
    <t>tiết diện 0.75 mm2</t>
  </si>
  <si>
    <t>Bịch</t>
  </si>
  <si>
    <t>OEM</t>
  </si>
  <si>
    <t>Đầu cốt kim 0.75 mm2 màu xanh (100 cái/bịch)</t>
  </si>
  <si>
    <t>Đầu cốt kim 1.0mm2 màu đỏ (100 cái/bịch)</t>
  </si>
  <si>
    <t>tiết diện 1.0 mm2</t>
  </si>
  <si>
    <t>Đầu cos kim 1.5, mm2 màu đỏ (100 cái/bịch)</t>
  </si>
  <si>
    <t>tiết diện 1.5 mm2</t>
  </si>
  <si>
    <t>Đầu cốt chỉa màu vàng cho dây tiếp địa 1.0mm (100 cái/bịch)</t>
  </si>
  <si>
    <t>Cos chữ Y SV2-4, đồng bọc nhựa 1.0mm</t>
  </si>
  <si>
    <t xml:space="preserve">Bịch </t>
  </si>
  <si>
    <t>Tủ điện 500x700x200x0.8mm2</t>
  </si>
  <si>
    <t>Kích thước 500x700x200x0.8mm2</t>
  </si>
  <si>
    <t>Cái</t>
  </si>
  <si>
    <t>Tủ điện 600x800x220x0.8 mm</t>
  </si>
  <si>
    <t>Kích thước 600x800x220x0.8 mm</t>
  </si>
  <si>
    <t>Cái</t>
  </si>
  <si>
    <t>Nút nhấn ON/OFF Φ22 (đỏ, vàng, xanh)</t>
  </si>
  <si>
    <t xml:space="preserve">Hanyoung MRF-RM1G 22mm 1NO+1NC </t>
  </si>
  <si>
    <t xml:space="preserve">
Kích thước lỗ lắp đặt D22mm
Kích thước D22
Màu sắc Green
Tiếp điểm 1NO+1NC
Chất liệu vỏ Plastic</t>
  </si>
  <si>
    <t>Hanyoung</t>
  </si>
  <si>
    <t>Hàn Quốc</t>
  </si>
  <si>
    <t>Nút nhấn ON/OFF - Φ25 (đỏ, vàng, xanh)</t>
  </si>
  <si>
    <t>Hanyoung CRF-F25M1G 25mm</t>
  </si>
  <si>
    <t>Kích thước đầu D29.6mm
Kích thước lỗ lắp đặt D25mm
Kích thước D25
Màu sắc Green
Tiếp điểm 1NO+1NC
Chất liệu vỏ Plastic</t>
  </si>
  <si>
    <t>Nút nhấn</t>
  </si>
  <si>
    <t>LA38-11 22mm màu xanh</t>
  </si>
  <si>
    <t>Cặp tiếp điểm thường mở: 23-24
Cặp tiếp điểm thường đóng: 11-12</t>
  </si>
  <si>
    <t>LA</t>
  </si>
  <si>
    <t>China</t>
  </si>
  <si>
    <t xml:space="preserve">Nút nhấn </t>
  </si>
  <si>
    <t>LA39-11 22mm màu đỏ</t>
  </si>
  <si>
    <t xml:space="preserve">Nút nhấn E -STOP CHINT 
</t>
  </si>
  <si>
    <t xml:space="preserve"> NP2-ES542, D22; Kích thước đầu: D40mm</t>
  </si>
  <si>
    <t>Kích thước lắp đặt D22
Kích thước đầu 
D40mm
Kiểu hoạt động 
Nhấn giữ/Xoay reset</t>
  </si>
  <si>
    <t>Chint</t>
  </si>
  <si>
    <t xml:space="preserve">Nút nhấn có đèn Chint  (màu xanh+đỏ+vàng)
</t>
  </si>
  <si>
    <t>NP2-EW3361 230V LED</t>
  </si>
  <si>
    <t>Điện áp hoạt động định mức Ue (V)
AC-15: 415/380/240/220; DC-13: 250/220/125/110
Dòng điện hoạt động định mức(mA)
AC-15: 1.9/2.5/3/4.5; DC-13: 0.27/0.3/0.55/0.6
Điện áp cách điện định mức Ui (V)
415
Nhiệt thông thường Ith hiện tại (A)
10
Điện áp chịu xung định mức Uimp (kV)
2.5
Lớp bảo vệ đầu
IP40, IP65</t>
  </si>
  <si>
    <t>Nút ấn có đèn màu xanh phi 22mm, 1 tiếp điểm NO, 1 tiếp điểm NC</t>
  </si>
  <si>
    <t>Nút nhấn có đèn 24V 22mm LA38-11DN (Nhấn nhả) - Xanh</t>
  </si>
  <si>
    <t>Đường kính lỗ: 22mm
- Loại nhấn nhả
- Màu xanh lá
- Đèn 24V 
- Tiếp điểm bạc dày
- Có thể mở rộng thêm tiếp điểm phụ</t>
  </si>
  <si>
    <t>Nút ấn có đèn màu đỏ phi 22mm, 1 tiếp điểm NO, 1 tiếp điểm NC</t>
  </si>
  <si>
    <t>Nút nhấn có đèn 24V 22mm LA38-11DN (Nhấn nhả) - Đỏ</t>
  </si>
  <si>
    <t>Đường kính lỗ: 22mm
- Loại nhấn nhả
- Màu đỏ
- Đèn 24V
- Có thể mở rộng thêm tiếp điểm phụ</t>
  </si>
  <si>
    <t>Đèn báo  Ø22, 24VDC (màu xanh+đỏ+vàng)</t>
  </si>
  <si>
    <t xml:space="preserve"> Ø22, 24VDC</t>
  </si>
  <si>
    <t>Schneider</t>
  </si>
  <si>
    <t>Đèn báo pha Ø22. 220VAC (đỏ+xanh+vàng)</t>
  </si>
  <si>
    <t>Ø22. 220VAC</t>
  </si>
  <si>
    <t>Dây rút 100mm (màu trắng)</t>
  </si>
  <si>
    <t>Dài 100mm (màu trắng)</t>
  </si>
  <si>
    <t>Dây rút 150mm</t>
  </si>
  <si>
    <t>Dài 150mm, màu trắng</t>
  </si>
  <si>
    <t>Dây rút 200mm</t>
  </si>
  <si>
    <t>Dài 200mm, màu trắng</t>
  </si>
  <si>
    <t>Dây rút 250 mm</t>
  </si>
  <si>
    <t>Dài 250mm, màu trắng</t>
  </si>
  <si>
    <t>Dây rút 300mm</t>
  </si>
  <si>
    <t>Dài 300mm (màu trắng)</t>
  </si>
  <si>
    <t>Tiếp điểm phụ contactor LS</t>
  </si>
  <si>
    <t>LS contactor LS (UA-1, UA-2, UA-4)</t>
  </si>
  <si>
    <t>LS</t>
  </si>
  <si>
    <t>Tiếp điểm phụ Schneider LAEN22</t>
  </si>
  <si>
    <t>LAEN22</t>
  </si>
  <si>
    <t>Tiếp điểm phụ GVAE11 1NO+1NC</t>
  </si>
  <si>
    <t>GVAE11 1NO+1NC</t>
  </si>
  <si>
    <t>Cảm biến quang Hanyoung PE-M3D</t>
  </si>
  <si>
    <t>Cảm biến quang phản xạ qua gương
'Nguồn cấp: 12-24VDC
Dòng tiêu thụ: 100mA
Khoảng cách phát hiện: 30cm</t>
  </si>
  <si>
    <t>Cảm biến sợi quang  BF3RX</t>
  </si>
  <si>
    <t>Loại cảm biến: Loại thu phát</t>
  </si>
  <si>
    <t>Loại : Loại tích hợp dung tích gấp đôi
Nguồn sáng : LED đỏ(660nm)
Thời gian đáp ứng : Max. 1ms
Nguồn cấp : 12-24VDC ±10%(sóng P-P: max. 10%)
Chế độ hoạt động : Light ON/Dark ON(cài đặt bằng dây điều khiển)
Ngõ ra điều khiển : NPN mạch thu hở</t>
  </si>
  <si>
    <t>Autonics</t>
  </si>
  <si>
    <t>Sợi quang FT-320-05</t>
  </si>
  <si>
    <t>Vật liệu sợi quang: Cáp sợi bằng nhựa
- Hình dạng: Loại ống hình trụ ø1.5
- Chiều dài cáp: 2m (cắt tự do)</t>
  </si>
  <si>
    <t>Kích thước: Phi 3mm-Sợi quang phi 0.5mm - 2M
 Loại phát hiện: Chùm tia thu phát
 Chất liệu cảm biến: Cáp sợi bằng nhựa</t>
  </si>
  <si>
    <t xml:space="preserve">Cảm biến tiệm cận điện cảm PR12-8DP </t>
  </si>
  <si>
    <t>25 V DC, normally open function PNP</t>
  </si>
  <si>
    <t>Loại dây và nguồn : DC 3 dây 12-24VDC
Đường kính cạnh phát hiện : M12
Khoảng cách phát hiện : 8mm
Cài đặt : Không có tấm chắn (phẳng)
Khoảng cách phát hiện tiêu chuẩn : 25×25×1mm(sắt)</t>
  </si>
  <si>
    <t>Cảm biến vị trí xilanh SMC D-A93</t>
  </si>
  <si>
    <t>24 V DC, normally open function PNP</t>
  </si>
  <si>
    <t>Sử dụng điện áp 24VDC hoặc 100VAC kiểu mắc tải nối tiếp 2 dây.
- Tích hợp Led báo ngõ ra khi có tác động
- Dòng tải sử dụng  5-40mA</t>
  </si>
  <si>
    <t>Nhật Bản</t>
  </si>
  <si>
    <t xml:space="preserve">Cảm biến sợi quang ngõ ra PNP 12~24VDC, Omron E3X-ZD41 </t>
  </si>
  <si>
    <t>Omron E3X-ZD41  PNP 12~24VDC</t>
  </si>
  <si>
    <t>Nguồn cấp: 12~24VD . Nguồn sáng: Red LED (620nm)
Ngõ ra PNP
Thời gian đáp ứng: 200us
Chọn chế độ ngõ ra: Light-on / Dark-on
Chức năng timer: OFF-delay (40ms fixed)</t>
  </si>
  <si>
    <t>Omron</t>
  </si>
  <si>
    <t>Cảm biến từ cảm loại hai dây 24VDC, PNP NO</t>
  </si>
  <si>
    <t>Cảm biến từ Airtac CMSG 020</t>
  </si>
  <si>
    <t>Điện áp : 5-240V AC/DC
Dòng điện : 100mA
Nhiệt độ : -10-80ºc
Tiêu chuẩn : IP64</t>
  </si>
  <si>
    <t>Airtac</t>
  </si>
  <si>
    <t>Đài Loan</t>
  </si>
  <si>
    <t>Cảm biến từ cảm loại ba dây 24VDC,PNP NO</t>
  </si>
  <si>
    <t>AUTONICS PRL30-15DP 12-24VDC, PNP-NO, 15mm</t>
  </si>
  <si>
    <t>Loại dây và nguồn : DC 3 dây 12-24VDC
Đường kính cạnh phát hiện : M30
Khoảng cách phát hiện : 15mm
Cài đặt : Không có tấm chắn (phẳng)
Khoảng cách phát hiện tiêu chuẩn : 45×45×1mm(sắt)</t>
  </si>
  <si>
    <t>Cảm biến điện từ 2  dây</t>
  </si>
  <si>
    <t>Cảm biến từ cảm loại hai dây</t>
  </si>
  <si>
    <t>normally open function PNP</t>
  </si>
  <si>
    <t>Điện áp: 90 ~ 250V AC
– Loại cảm biến: NO
– Dòng ra: &lt; 300mA
– Đối tượng phát hiện: Kim loại đồng, sắt, nhôm, vàng…
– Tần số đáp ứng: 200Hz
– Chiều dài cable: 1.5 mét</t>
  </si>
  <si>
    <t>Cảm biến từ cảm loại ba dây</t>
  </si>
  <si>
    <t>Kích thước: 12 mm.
+ Chất liệu: nhựa + sắt.
+ Điện áp hoạt động: 6VDC – 36VDC.
+ Dòng điện ngõ ra: 300mA.
+ Ngõ ra: PNP, 3 dây.</t>
  </si>
  <si>
    <t>Cảm biến từ</t>
  </si>
  <si>
    <t xml:space="preserve">LJ12A3 </t>
  </si>
  <si>
    <t xml:space="preserve">Model: LJ12A3 
Phát hiện: Kim loại. 
Nguồn: 5~36VDC 
Dòng tiêu thụ: 300 mA 
Khoảng đo: 0~4mm 
</t>
  </si>
  <si>
    <t>Bộ</t>
  </si>
  <si>
    <t>Cảm biến quang</t>
  </si>
  <si>
    <t>Omron E32-DC200</t>
  </si>
  <si>
    <t>Phương pháp phát hiện Phản xạ trực tiếp
Khoảng cách phát hiện 600mm, 900mm
Môi trường hoạt động Tiêu chuẩn
Vật liệu vỏ bọc sợi Nhựa nhiệt dẻo Polyethylene
Chất liệu đầu cảm biến Đồng thau mạ niken
Loại Sợi quang</t>
  </si>
  <si>
    <t>Japan</t>
  </si>
  <si>
    <t>Cảm biến sợi quang 24VDC,PNP NO</t>
  </si>
  <si>
    <t>FT-420-10 Autonics</t>
  </si>
  <si>
    <t>2 sợi, Khoảng cách 500mm
Kích thước: L=2m</t>
  </si>
  <si>
    <t>Cảm biến quang loại 3 dây 24VDC,PNP NO</t>
  </si>
  <si>
    <t>AUTONICS BRQM400-DDTA thu-phát chung, 400mm</t>
  </si>
  <si>
    <t>Nguồn cấp 10…30VDC
Phương pháp phát hiện Thu-phát chung
Khoảng cách phát hiện 400mm
Loại đầu ra NPN
Chế độ hoạt động Dark ON, Light ON</t>
  </si>
  <si>
    <t>Bộ</t>
  </si>
  <si>
    <t>Cảm biến 2 đầu xi lanh 24VDC,PNP NO</t>
  </si>
  <si>
    <t>2-dây SMC D-A93</t>
  </si>
  <si>
    <t>Ngõ ra:
DC 2-dây NO, kích âm (0V) hoặc kích dương (24VDC)
Kích âm (0V/NPN): dây xanh đấu 0V, dây nâu ngõ ra
Kích dương (24VDC/PNP): dây nâu đấu 24VDC, dây xanh ngõ ra
Dòng tải: 5-40 mA
Điện áp tải: 24VDC
AC 2-dây NO
Dòng tải: 5-20mA
Điện áp tải: 100VAC 50/60Hz
Thiết kế bảo vệ mạch: không có
Led hiển thị trạng thái ON: Led đỏ
Thời gian đáp ứng: 1ms
Cấp bảo vệ: IP67
Dây dài 0.8m</t>
  </si>
  <si>
    <t>SMC</t>
  </si>
  <si>
    <t>Cảm biến điện dung 3  dây</t>
  </si>
  <si>
    <t>Cảm biến điện dung 3 dây</t>
  </si>
  <si>
    <t>Autonics CR18-8DP 8mm NO-PNP 12-24VDC</t>
  </si>
  <si>
    <t xml:space="preserve">Loại dây và nguồn : DC 3 dây 12-24VDC
Đường kính cạnh phát hiện : M18
Khoảng cách phát hiện : 8mm
Khoảng cách phát hiện tiêu chuẩn : 50×50×1mm(sắt)
Tần số đáp ứng : 50Hz
Thông số dòng : Dòng tiêu thụ: Max.15mA
Ngõ ra điều khiển : PNP Thường Mở
Cấu trúc bảo vệ : IP66
</t>
  </si>
  <si>
    <t xml:space="preserve">Cảm biến áp suất </t>
  </si>
  <si>
    <t>Autonics PSAN-1CV-RC1/8 1000kPa</t>
  </si>
  <si>
    <t>Chất lỏng áp dụng : (Loại khí nén) Khí, khí không ăn mòn
Hướng lắp đặt cổng áp suất : Lắp mặt sau
Cổng áp suất : Rc1/8
Loại kết nối : Loại giắc cắm(Loại giắc cắm cáp: 2m)
Loại áp suất : Áp suất tiêu chuẩn
Nguồn cấp : 12-24VDC ±10%(sóng P-P: max. 10%)
Dòng tiêu thụ : Loại ngõ ra điện áp: Max. 50mA
Loại ngõ ra dòng: Max. 75mA
Cấu trúc bảo vệ : IP40</t>
  </si>
  <si>
    <t>Cảm biến hồng ngoại, chuyển động</t>
  </si>
  <si>
    <t>Cảm biến chuyển động hồng ngoại Chữ nhật quét góc 180 độ IP20 mã IRS1-H
Dòng sản phẩm :</t>
  </si>
  <si>
    <t>MPE</t>
  </si>
  <si>
    <t>Xi lanh khí nén tác động kép, có giảm chấn, d = 16mm, h = 100mm.</t>
  </si>
  <si>
    <t>Xi lanh khí nén đường kính 16mm - hành trình 50mm, 100mm</t>
  </si>
  <si>
    <t>Nhà sản xuất: LAIZE
– Model: MAL-16
– Hành trình: 100mm
– Áp suất làm việc: 0.15 – 1MPA
– Đường kính trục Piston: 6mm
– Vít trục Piston: M6
– Loại thanh: thanh đơn
– Điều khiển bằng không khí
– Loại hành động: tác động kép
– Không tự quay lại
– Chất liệu: Hợp kim nhôm &amp; nhiều vật liệu khác</t>
  </si>
  <si>
    <t>LAIZE</t>
  </si>
  <si>
    <t>Xi lanh khí nén tác động kép</t>
  </si>
  <si>
    <t>Xi lanh khí nén tác động kép, có giảm chấn, d = 25mm, h = 100mm.</t>
  </si>
  <si>
    <t>JONGDAI MAL</t>
  </si>
  <si>
    <t>Cụm 5 van điện từ 5/2 + đế</t>
  </si>
  <si>
    <t>24 V DC</t>
  </si>
  <si>
    <t>Van khí nén Airtac 5/2
Điện áp: DC12V, DC24V, AC24V, AC110V, AC220V
Kích thước cửa khí: 1/8″, 1/4″, 3/8″
Kích thước cửa xả khí: 1/8″, 1/4″
Chất liệu thân van: nhôm
Tiêu chuẩn coil điện: IP67
Loại: 1 coil điện, 2 coil điện</t>
  </si>
  <si>
    <t>bộ</t>
  </si>
  <si>
    <t>Van điện từ 5/2</t>
  </si>
  <si>
    <t>SMC 5/2 SY3220-5LZD-M5 2 coil</t>
  </si>
  <si>
    <t>Solenoid valve 5/2 tác động điện từ 2 đầu, 5 cửa và 2 vị trí làm việc.
Áp suất tối đa: 0.7 MPa
Điện áp van điện từ: 24V DC</t>
  </si>
  <si>
    <t>Van tiết lưu khí nén M5, dây hơi 4mm</t>
  </si>
  <si>
    <t>M5, dây hơi 4mm</t>
  </si>
  <si>
    <t>Đường kính ống (Ø D) 4mm
Ren ngoài (R) M5
Chiều dài ren ngoài (L) 3.5mm
Kích thước (C x EA) 30 x 19mm</t>
  </si>
  <si>
    <t>Đầu nối chuyển khí nén, ống hơi 6-4mm (PG6-4)</t>
  </si>
  <si>
    <t>(PG6-4)</t>
  </si>
  <si>
    <t>Áp suất làm việc : 0 - 1 MPA
Nhiệt độ làm việc : 0 - 60 độ C
Dẫn lưu : Không khí, chân không
Vật liệu : Chất liệu PU, PE ,</t>
  </si>
  <si>
    <t>Van công tắc khí nén HVFF-4</t>
  </si>
  <si>
    <t>HVFF-4</t>
  </si>
  <si>
    <t>Áp suất làm việc : 0 - 1 MPA
Nhiệt độ làm việc : 0 - 60 độ C
Dẫn lưu : Không khí, chân không
Vật liệu : Chất liệu PU, PE , Chất liệu đồng</t>
  </si>
  <si>
    <t>Công tắc nguồn 3 pha Hanyoung 25A 690VAC</t>
  </si>
  <si>
    <t>3 pha Hanyoung 25A 690VAC</t>
  </si>
  <si>
    <t>Số cực: 3P
- Vít: M4
- Điện áp cách điện: 690VAC
- Cấu trúc bảo vệ: IP64</t>
  </si>
  <si>
    <t>Đầu đực cắm thí nghiệm nhanh Jack 4mm</t>
  </si>
  <si>
    <t>4mm, đầu đực</t>
  </si>
  <si>
    <t>Đầu cái cắm thí nghiệm nhanh Jack 4mm</t>
  </si>
  <si>
    <t>4mm, đầu cái</t>
  </si>
  <si>
    <t>Ống khí nén Ø4 mm</t>
  </si>
  <si>
    <t>Ø4 mm, màu xanh</t>
  </si>
  <si>
    <t>Khớp nối : Ø4mm
Áp lực vận hành : Max. 231 Psi
Lực tác động : Max. 15 kgf/cm²
Lưu chất : các loại khí
Biên nhiệt : -20 ~ 60ºC
Chất liệu : Polyurethane</t>
  </si>
  <si>
    <t>M</t>
  </si>
  <si>
    <t>Sang A</t>
  </si>
  <si>
    <t>Ống khí nén Ø6 mm.</t>
  </si>
  <si>
    <t>Ø6 mm.</t>
  </si>
  <si>
    <t>Khớp nối : Ø6mm
Áp lực vận hành : Max. 231 Psi
Lực tác động : Max. 15 kgf/cm²
Lưu chất : các loại khí
Biên nhiệt : -20 ~ 60ºC
Chất liệu : Polyurethane</t>
  </si>
  <si>
    <t>Mét</t>
  </si>
  <si>
    <t>lyon</t>
  </si>
  <si>
    <t>Súng thổi khí Total TAT3031-3</t>
  </si>
  <si>
    <t>Total TAT3031-3</t>
  </si>
  <si>
    <t xml:space="preserve">Chiều dài ống phun: 16mm
Đầu nối kiểu Nitto
</t>
  </si>
  <si>
    <t>Total</t>
  </si>
  <si>
    <t>Ống dây khí xoắn phi 8mm</t>
  </si>
  <si>
    <t>Dài 12m, phi 8mm, màu trắng</t>
  </si>
  <si>
    <t>Test boad cắm cái</t>
  </si>
  <si>
    <t>400 Lỗ,  Kích Thước 8.5x5.5cm</t>
  </si>
  <si>
    <t>Kích thước: 5.5 x 8.2 x 0.85 cm.
- Số lỗ: 400 lỗ.
- Vật liệu: nhựa ABS, thiết mạ đồng.
- Chịu tải / dòng: 300V / 3-5A.</t>
  </si>
  <si>
    <t>LED siêu sáng đỏ /vàng - 3mm</t>
  </si>
  <si>
    <t>Loại led: led đơn siêu sáng.
- Kích thước bóng: đường kính 3mm.
- Số chân: 2 chân.
- Chiều dài chân: 28 mm - 29 mm.</t>
  </si>
  <si>
    <t>Con</t>
  </si>
  <si>
    <t>LED siêu sáng trắng - 3mm</t>
  </si>
  <si>
    <t>LED siêu sáng xanh lá - 3mm</t>
  </si>
  <si>
    <t>Led 7 đoạn - Anode</t>
  </si>
  <si>
    <t>Loại thông dụng trên thị trường</t>
  </si>
  <si>
    <t>Màu đỏ
A chung (A anode) dương chung
4 Dot
12 chân
Điện áp rơi trên LED là 2.2V
Dòng tối đa chạy qua mỗi LED là 25mA</t>
  </si>
  <si>
    <t>Led 7 đoạn - Kathode</t>
  </si>
  <si>
    <t>Màu đỏ
- Cathode chung
- 4 Dot
- 12 chân
- Điện áp rơi trên LED là 2.2V
- Dòng tối đa chạy qua mỗi LED là 25mA</t>
  </si>
  <si>
    <t>Led phát hồng ngoại</t>
  </si>
  <si>
    <t>Kích thước 5x5x3.6mm
- Điện áp 1.2 -1.6 VDC.
- Đường kính led  5mm
- Kiểu chân 2.54mm
- Chiều dài chân 27mm
- Chân Thẳng
- Bước sóng 940nm</t>
  </si>
  <si>
    <t>Led thu hồng ngoại</t>
  </si>
  <si>
    <t>Thạch anh 4 MHz</t>
  </si>
  <si>
    <t>Tần số 4 MHz.
- Kiểu chân cắm.
- 3 chân cắm.</t>
  </si>
  <si>
    <t>Tụ điện 33pF</t>
  </si>
  <si>
    <t>Điện dung
33 pF
Điện áp
50V
Kiểu chân
Xuyên lỗ</t>
  </si>
  <si>
    <t>Tụ điện 10 mF</t>
  </si>
  <si>
    <t>Điện dung: 10 uF
     -   Điện áp: 50V
     -   Nhiệt độ hoạt động: - 55°C -- 125°C
     -   Loại: Tụ phân cực</t>
  </si>
  <si>
    <t>Điện trở 10k</t>
  </si>
  <si>
    <t>Nhiệt độ hoạt động: -55oC – 155oC
Linh kiện xuyên lỗ: 0.5mm
Loại: Điện trở cố định</t>
  </si>
  <si>
    <t>Điện trở 2,2k</t>
  </si>
  <si>
    <t>Điện trở 100 Ω</t>
  </si>
  <si>
    <t>Điện trở 1k</t>
  </si>
  <si>
    <t>Chân cắm, 1/4W</t>
  </si>
  <si>
    <t>Điện trở 4k7</t>
  </si>
  <si>
    <t>Điện trở 330 Ohm</t>
  </si>
  <si>
    <t>IRF 640</t>
  </si>
  <si>
    <t>IRF 640, chân cắm</t>
  </si>
  <si>
    <t>Loại gói: TO-220
Loại transistor: Kênh N
Điện áp tối đa từ cực máng đến cực nguồn: 200V
Điện áp tối đa từ cực cổng đến cực nguồn: ± 20V
Dòng cực máng tối đa liên tục: 18A
Dòng xung cực máng tối đa: 72A
Công suất tiêu tán tối đa: 125W
Điện áp tối thiểu cần thiết để dẫn: 2V đến 4V
Nhiệt độ lưu trữ và hoạt động tối đa: -55 đến +150 độ C.</t>
  </si>
  <si>
    <t>IC 555</t>
  </si>
  <si>
    <t>IC555 chân cắm</t>
  </si>
  <si>
    <t>Điện áp đầu vào: 4.5-16V
Dòng điện cung cấp : 10mA - 15mA
Điện áp logic ở mức cao : 0.5 - 15VĐiện áp logic ở mức thấp : 0.03 - 0.06V
Công suất lớn nhất là : 600mW
 Nhiệt độ hoạt động: 0 – 70oC</t>
  </si>
  <si>
    <t>IC741</t>
  </si>
  <si>
    <t>IC741 chân cắm</t>
  </si>
  <si>
    <t>Model: 8 chân, xuyên lỗ
 Điện áp cung cấp max: +/-18V (Vcc)
Công suất cực đại: 500mW
  Dải nhiệt độ hoạt động: 0 ~ 70oC</t>
  </si>
  <si>
    <t>IC cách ly quang PC817</t>
  </si>
  <si>
    <t>PC817, châ cắm</t>
  </si>
  <si>
    <t xml:space="preserve">Điện áp tín hiệu vào: 3.6-24V
- Điện áp tín hiệu ra: 3.6-30V
- 4 kênh độc lập
</t>
  </si>
  <si>
    <t>IC LM 555 (IC Dao động)</t>
  </si>
  <si>
    <t>LM555CN IC Tạo Xung Dao Động DIP-8</t>
  </si>
  <si>
    <t>Điện áp đầu vào: 4.5-16V
Dòng điện cung cấp : 10mA - 15mA
Điện áp logic ở mức cao : 0.5 - 15V
Điện áp logic ở mức thấp : 0.03 - 0.06V</t>
  </si>
  <si>
    <t>Transistor C828</t>
  </si>
  <si>
    <t>Transistor C828, chân cắm</t>
  </si>
  <si>
    <t>Loại transistor: NPN
Dòng cực góp tối đa (IC): 100mA
Điện áp cực góp - cực phát tối đa (VCE): 25V
Điện áp cực góp - cực gốc tối đa (VCB): 30V
Điện áp cực phát - cực gốc tối đa (VEBO): 7V</t>
  </si>
  <si>
    <t>Transistor A1015</t>
  </si>
  <si>
    <t>Transistor A1015, chân cắm</t>
  </si>
  <si>
    <t>Loại transistor PNP
Điện áp C-E là: -50 V
Điện áp C-B là: -50 V
Điện áp E-B là: -5 v
Dòng điện cực thu: -0.15 A
Hệ số khuếch đại dòng một chiều (hfe) - 70 đến 400</t>
  </si>
  <si>
    <t>Transistor 2SC1015</t>
  </si>
  <si>
    <t>2SC1015</t>
  </si>
  <si>
    <t>Loại transistor PNP
Điện áp C-E là: -50 V
Điện áp C-B là: -50 V
Điện áp E-B là: -5 v
Dòng điện cực thu: -0.15 A
Hệ số khuếch đại dòng một chiều (hfe) - 70 đến 400</t>
  </si>
  <si>
    <t>Công tắc chuyển mạch</t>
  </si>
  <si>
    <t>3 vị trí 45 độ Ø22 IDEC YW1S-31E20</t>
  </si>
  <si>
    <t>Công tắc xoay Φ22 – Công tắc xoay 3 vị trí (45 độ), IP 65 ngoài mặt tủ
2NO, tự trả về từ bên phải</t>
  </si>
  <si>
    <t>Nút dừng khẩn cấp</t>
  </si>
  <si>
    <t>Hanyoung CRE-25R1R, 25mm</t>
  </si>
  <si>
    <t>NÚT NHẤN KHẨN ĐỎ
Kích thước: Φ25 mm
Tiếp điểm: 1NO + 1NC</t>
  </si>
  <si>
    <t>Dây co nhiệt Ø2 (màu đen)</t>
  </si>
  <si>
    <t>Cuộn</t>
  </si>
  <si>
    <t>dây co nhiệt Φ 4.0mm</t>
  </si>
  <si>
    <t>Dây co nhiệt Φ 4.0mm</t>
  </si>
  <si>
    <t>Đô mi nô 12p</t>
  </si>
  <si>
    <t>dạng khối HYT-2012 Hanyoung</t>
  </si>
  <si>
    <t>Số cực: 12P
 Dòng nhiệt định mức: 20A</t>
  </si>
  <si>
    <t xml:space="preserve">Cầu đấu dây (Terminal Push-in) </t>
  </si>
  <si>
    <t>loại DS2.5 ,Tiết diện dây 0.14 - 4mm</t>
  </si>
  <si>
    <t>Dòng điện định mức: 24A
- Rộng 5.2mm</t>
  </si>
  <si>
    <t>Cầu đấu dây UK 5N (đơn)</t>
  </si>
  <si>
    <t>Cầu đấu dây UK 5N (đơn), 0.2 đến 6 mm², dòng 32A, rộng 6.2mm</t>
  </si>
  <si>
    <t>Kích thước: rộng 4.3mm
– Thương hiệu: CHFRPU
– Màu sắc: Xám Xanh
– Xuất xứ:
– Chất lượng: mới 100%
– Điện áp định mức: 800V
– Dòng điện: 41A
– Tiết diện dây: dành cho dây từ 0.2 đến 6mm2
–Tiết diện dây dấu nối danh định: 4mm2</t>
  </si>
  <si>
    <t>Cầu đấu Terminal loại UK3N màu xám</t>
  </si>
  <si>
    <t>UK3N màu xám, Tiết diện dây: 2.5mm2. Dòng điện: 32A. Điện áp: 800V</t>
  </si>
  <si>
    <t>Kích thước: rộng 5.2mm
– Thương hiệu: Công nghệ Xixiang
– Màu sắc: Xám Xanh
– Xuất xứ:
– Chất lượng: mới 100%
– Dòng điện:24A
– Điện áp: 800V
– Tiết diện dây: dành cho dây từ 0.2 đến 4mm2
–Tiết diện dây dấu nối danh định: 2.5mm2
– Vật liệu: Vỏ ngoài: bằng nhựa màu xám, bền, dẻo và cháy chậm</t>
  </si>
  <si>
    <t>Xixiang</t>
  </si>
  <si>
    <t>Cầu đấu Terminal loại UK3N màu xanh lá cây dành cho tiếp địa</t>
  </si>
  <si>
    <t>Terminal loại UK3N màu xanh lá cây dành cho tiếp địa, Tiết diện dây: 2.5mm2. Dòng điện: 32A. Điện áp: 800V</t>
  </si>
  <si>
    <t>Chặn cuối cầu đấu E/UK</t>
  </si>
  <si>
    <t>Cầu đấu Terminal UKK3 2 tầng màu xám</t>
  </si>
  <si>
    <t>Tiết diện dây: 2.5mm2.
Dòng điện: 32A.
Điện áp: 800V.
Chất liệu: Đồng 100%.
Kích thước: H62 x W62 x T5.2mm.</t>
  </si>
  <si>
    <t>Thanh cầu nối giữa Terminal FBI 10 - 5 (UK3N)</t>
  </si>
  <si>
    <t>Chất liệu Kim loại, Brass
Chức năng Cầu nối giữa
Kiểu lắp đặt Lắp trên thân đầu nối cáp</t>
  </si>
  <si>
    <t>Thanh</t>
  </si>
  <si>
    <t>Nút dừng khẩn cấp Ø22</t>
  </si>
  <si>
    <t>IDEC YW1B-V4E01R</t>
  </si>
  <si>
    <t>Loại sản phẩm: Nút nhấn khẩn
 Type: Nhấn giữ
 Tiếp điểm: 1NC</t>
  </si>
  <si>
    <t>IDEC</t>
  </si>
  <si>
    <t>Công tắc hành trình nam châm 2 dây</t>
  </si>
  <si>
    <t>SMC D - M9B</t>
  </si>
  <si>
    <t>Điện áp định mức 10-28VDC
Led Led báo ngõ ra khi có tác động
Dòng hoạt động 2.5-40mA</t>
  </si>
  <si>
    <t>Công tắc hành trình</t>
  </si>
  <si>
    <t>V-153-1C25</t>
  </si>
  <si>
    <t>Dòng tiếp điểm: 15A tại 250VAC
- Tiếp điểm: SPDT (1NO-1NC)
- Kiểu tác động: Chốt đòn bẩy dài
- Tần số hoạt động: + Cơ: 600 lần/Max + Điện: 60 lần/Max
- Chống va đập: + Độ bền: 1000m/s2 + Sự cố: 3000m/s2
- Kiểu đấu nối: Thiết bị đầu cuối kết nối nhanh
- Nhiệt độ môi trường: -25-80°C
- Cấp bảo vệ: IEC IP40</t>
  </si>
  <si>
    <t>Công tắc hành trình hanyuong HY-M904</t>
  </si>
  <si>
    <t>Hanyoung HY-M904</t>
  </si>
  <si>
    <t>DÒNG ĐỊNH MỨC 6A, 250VAC
THIẾT BỊ TRUYỀN ĐỘNG (BỘ PHẬN VẬN HÀNH) Cần gạt đầu con lăn, có thể điều chỉnh kích thước
VẬT LIỆU TIẾP ĐIỂM AgNi
CẤU TRÚC TIẾP ĐIỂM Terminal vít M4 siết chặt, loại 2 mạch đôi (1a1b)</t>
  </si>
  <si>
    <t>Công tắc hành trình con lăn loại nhỏ</t>
  </si>
  <si>
    <t>Omron 653-SS-01GP</t>
  </si>
  <si>
    <t>Tiếp điểm điều khiển: 1NO+1NC
 Kiểu tác động: Pít tông đỉnh đầu
 Kết nối dây: Chân hàn</t>
  </si>
  <si>
    <t>Công tắc nguồn 3 pha MAS-025A</t>
  </si>
  <si>
    <t>Số cực, 3P ; Vít, M4 ; Điện áp cách điện, 690V AC ; Điện áp hoạt động, 600V AC ; Dòng điện hiện tại, 25A</t>
  </si>
  <si>
    <t>Loại Công tắc đóng cắt trực tiếp động cơ điện
Số cực 3P
Vít M4
Điện áp cách điện 690V AC
Điện áp hoạt động 600V AC
Dòng điện hiện tại 25A
Áp dụng loại AC-21A</t>
  </si>
  <si>
    <t>Vỏ + cầu chì RT28N-32X/1P</t>
  </si>
  <si>
    <t>Khởi Động Từ LS MC 9B AC 220V</t>
  </si>
  <si>
    <t>Dòng điện : 9A
Điện áp điều khiển : 220VAC
Tiếp điểm : 1NONC</t>
  </si>
  <si>
    <t>CB 3 Pha Sino Vanlock 32A</t>
  </si>
  <si>
    <t>3 Pha, 32A</t>
  </si>
  <si>
    <t>Thương hiệu: Sino
Mã sản phẩm: SC68N/C3032
Số cực: 3 cực
Dòng định mức: 32A
Khả năng chịu dòng cắt: 6kA
Điện áp định mức: 415V AC</t>
  </si>
  <si>
    <t>SINO</t>
  </si>
  <si>
    <t>CB 1 Pha Sino Vanlock 32A</t>
  </si>
  <si>
    <t>1 Pha ,32A</t>
  </si>
  <si>
    <t>Khả năng ngắn mạch danh định : 4,5kA
-Dòng điện danh định : 32A
-Màu sắc: Nhựa màu trắng
-1 cực vào, 1 cực ra</t>
  </si>
  <si>
    <t xml:space="preserve">CB 1 pha 2 cực </t>
  </si>
  <si>
    <t>iK60N - 2P , 6kA, 230V</t>
  </si>
  <si>
    <t xml:space="preserve"> iK60N MCB 2P 6kA 230V 32A</t>
  </si>
  <si>
    <t xml:space="preserve">MCB 1pha 1 cực </t>
  </si>
  <si>
    <t>iK60N - 1P , 6kA, 230V, 32A, Schneider</t>
  </si>
  <si>
    <t>iK60N MCB 1P 6kA 230V 32A</t>
  </si>
  <si>
    <t>RCBO chống giật</t>
  </si>
  <si>
    <t xml:space="preserve">RCBO iDPN N 1P+N, C 32A, 230V, 30mA, 6kA, AC, Schneider </t>
  </si>
  <si>
    <t>Dòng: Acti 9 iDPN N Vigi
Số cực: 1P + N
Dòng điện định mức: 32A
Đường cong loại: C
Dòng rò: 30mA
Điện áp làm việc định mức [Ue]: 230V AC 50Hz
Điện áp cách điện định mức [Ui]: 400V AC 50Hz
Xung điện áp định mức [Uimp]: 4 kV
Dòng thực tế cắt được [Ics]: 6kA
Tiêu chuẩn: IEC 1008
Cấp độ bảo vệ: IP20</t>
  </si>
  <si>
    <t>CB chống giật</t>
  </si>
  <si>
    <t>CB chống giật LS RKP 16A 1P+N 30mA 4.5kA</t>
  </si>
  <si>
    <t>Dòng cắt 
4.5kA
Dòng rò 
30mA
Dòng điện 
16A
Số cực 
1P+N
Điện áp ngõ vào 
1 Pha</t>
  </si>
  <si>
    <t>CB chống rò Schneider EZ9R34440 40A 30mA 4P</t>
  </si>
  <si>
    <t>EZ9R34440 40A 30mA 4P</t>
  </si>
  <si>
    <t>Số cực: 4P
Dòng điện định mức: 40A
Dòng rò: 30mA</t>
  </si>
  <si>
    <t>Schneider CB từ nhiệt bảo vệ động cơ 4.0-6.3A GV2ME10</t>
  </si>
  <si>
    <t>4.0-6.3A GV2ME10</t>
  </si>
  <si>
    <t>Công suất 
2.2kW
Dòng điện 
4A, 6.3A</t>
  </si>
  <si>
    <t>MCCB 40 A</t>
  </si>
  <si>
    <t>Số cực: 3P
Kích thước khung 50AF
Gắn thanh DIN
Dòng điện định mức: 40A, 50A, 60A
Điện áp định mức: 500V
Dòng cắt: 2.5kA (415V) 10kA (100V, 200V)</t>
  </si>
  <si>
    <t>PANASONIC</t>
  </si>
  <si>
    <t>Contactor LC1D09BD</t>
  </si>
  <si>
    <t>LC1D09BD Schneider</t>
  </si>
  <si>
    <t>Số cực: 3P
 Dòng tiếp điểm: 9A</t>
  </si>
  <si>
    <t>Contactor MC-12A</t>
  </si>
  <si>
    <t>LS 3P 12A 220VAC MC-12a</t>
  </si>
  <si>
    <t>Số cực:  3
 Dòng định mức:  12A
 Công suất:  5.5kW
 Tiếp điểm phụ:  1a</t>
  </si>
  <si>
    <t>Contactor LS MC-9b 220V 9A 4kW 1NC+1NO</t>
  </si>
  <si>
    <t>220V 9A 4kW 1NC+1NO</t>
  </si>
  <si>
    <t>Dòng điện (Ie) 
9A
Số cực 
3P
Tiếp điểm chính 
3NO
Cuộn dây 
220VAC
Tiếp điểm phụ 
1NO+1NC</t>
  </si>
  <si>
    <t>Contactor NXC-25 + tiếp điểm phụ AX-3X/22</t>
  </si>
  <si>
    <t>CHINT NXC-25 + tiếp điểm phụ AX-3X/22</t>
  </si>
  <si>
    <t>Loại
Tiếp điểm phụ
Tiếp điểm tác động
2NO + 2NC
Kiểu lắp
Lắp phía trên
Nhiệt độ môi trường
-10 ~ 55  °C</t>
  </si>
  <si>
    <t>Counter DHH48J-A (8)</t>
  </si>
  <si>
    <t>DHH48J-A (8)</t>
  </si>
  <si>
    <t>Điện áp nguồn: AC220V
- Dòng tiếp điểm: 5A - 250VAC
- Dải đếm có thểđiều chỉnh:
- Số chân: 8 chân tròn (có đế đi kèm)
- Kích thước (mm): 48W x 48D x 84D
- Màn hình LED 7 thanh hiển thị hai chữ số, có kèm nút reset</t>
  </si>
  <si>
    <t>Contactor Schneider LC1D09M7 9A 1NO+1NC 220V</t>
  </si>
  <si>
    <t>LC1D09M7 9A 1NO+1NC 220V</t>
  </si>
  <si>
    <t>Contactor LS MC-22b</t>
  </si>
  <si>
    <t>LS - MC-22b 220V 22A 11kW 1NC+1NO</t>
  </si>
  <si>
    <t>Số cực:  3
 Dòng định mức:  22A
 Công suất:  11kW
 Tiếp điểm phụ:  1a1b
 Cuộn hút:  220V, 380V,...</t>
  </si>
  <si>
    <t>Công tắc tơ LS MC32a</t>
  </si>
  <si>
    <t>LS MC-32a 220V 32A 15kW 2NC+2NO</t>
  </si>
  <si>
    <t>Số cực:  3
 Dòng định mức:  32A
 Công suất:  15kW
 Tiếp điểm phụ:  2a2b
 Cuộn hút:  220V, 380V,...
 Kích thước:  
 Điện áp hoạt động:  690VAC
 Điện áp thử nghiệm xung (Uimp):  6kV</t>
  </si>
  <si>
    <t>Rơ le nhiệt LS - MT -32</t>
  </si>
  <si>
    <t>LS - MT32</t>
  </si>
  <si>
    <t>Số cực:  3
 Dải điều chỉnh:  6-9A
 Điện áp hoạt động:  690V
 Điện áp thử nghiệm xung (Uimp):  6kV</t>
  </si>
  <si>
    <t>Rơ le nhiệt NXR-25</t>
  </si>
  <si>
    <t>CHINT NXR-25</t>
  </si>
  <si>
    <t>Phân loại : Rơ le nhiệt
Điện áp định mức : 220V-690V
Dòng điện định mức : 0.25-0.4A
số pha : 3 pha
Tiêu chuẩn : IEC 60947-4/5-1</t>
  </si>
  <si>
    <t>Rơ le thời gian DH48S-2Z + đế</t>
  </si>
  <si>
    <t>DH48S-2Z + đế Omron</t>
  </si>
  <si>
    <t>Điện áp nguồn 200-240VAC
Dải đếm 0.1s-99H
Dòng cho tiếp điểm 5A/220V
Số chân: 8 chân tròn</t>
  </si>
  <si>
    <t>Rơ le thời gian + đế 220VAC</t>
  </si>
  <si>
    <t>Hanyoung T48N-01B</t>
  </si>
  <si>
    <t>Bộ định thời – Dòng T48N
Không hiển thị – Cài đặt núm vặn – On Delay – 8 chân tròn
Kích thước: 48 x 48
24 ~ 240V Ac/Dc ǁ 1s/ 1m/ 1h
Hanyoung T48N</t>
  </si>
  <si>
    <t>Rờ le thời gian  + Đế</t>
  </si>
  <si>
    <t>220v (On delay timer)</t>
  </si>
  <si>
    <t>NGUỒN CẤP: 220V
Loại relay: ON Delay
Thời gian trễ: 30 - 480 giây
Tiếp điểm: 1NO</t>
  </si>
  <si>
    <t>Rơ le trung gian 14 chân 24VDC + đế</t>
  </si>
  <si>
    <t>Schneider RXM4LB2BD 24Vdc 14 chân (có đèn)</t>
  </si>
  <si>
    <t>Tiếp điểm: 4 C/O
Điện áp định mức: 24Vdc
Rơ le trung gian REXO có đèn chỉ thị
Dòng chịu tải 3A
Tần số đóng ngắt tối đa: 1200 lần/ giờ
Tuổi thọ cơ khí 10 triệu lần</t>
  </si>
  <si>
    <t>Rơ le trung gian + đế</t>
  </si>
  <si>
    <t>Omron LY4N AC220/240 14 chân 10A</t>
  </si>
  <si>
    <t>Loại  Relay trung gian
Số Chân  14 chân loại lớn, 4 cặp tiếp điểm
Chịu tải  10A
Đế  PTF14A-E
Điện áp điều khiển AC220/240</t>
  </si>
  <si>
    <t>Đế Relay</t>
  </si>
  <si>
    <t>Đế relay 14 chân</t>
  </si>
  <si>
    <t xml:space="preserve"> Dòng điện định mức  5 A
 Điện áp chân đế PYF14A  250 V
 Số chân cắm  14 chân dẹt nhỏ
 Mounting Type  DIN Rail
 Ứng dụng PYF14A  dùng cho Timer</t>
  </si>
  <si>
    <t>Relay kính trung gian Omron 14 chân MY4NJ Kèm đế 24VDC</t>
  </si>
  <si>
    <t>Relay kính trung gian 14 chân MY4NJ Kèm đế 24VDC</t>
  </si>
  <si>
    <t>Điện áp hoạt động: 24VDC
 Tiếp điểm max: 250VDC/ 5A</t>
  </si>
  <si>
    <t>Rơ le bảo vệ pha Schneider PMR-440N7 340-480V</t>
  </si>
  <si>
    <t>Schneider PMR-440N7 340-480V</t>
  </si>
  <si>
    <t>Điện Áp Vào Định Mức 440VAC
[Ue] Điện Áp Hoạt Động Định Mức 480VAC
Điện Năng Tiêu Thụ 2W
Ngưỡng Cấp 340-480VAC
Tần Số 50/60Hz
Tiếp Điểm 1C/O
Thời Gian Khởi Động Lại 1s
Phương Pháp Hiển Thị 2 LED</t>
  </si>
  <si>
    <t>Dây điện từ Ø 0.3mm</t>
  </si>
  <si>
    <t>Chất liệu: Ruột đồng , cách điện PVC -Dây điện từ 0.30</t>
  </si>
  <si>
    <t>Kg</t>
  </si>
  <si>
    <t>Dây điện từ Ø 0.5mm</t>
  </si>
  <si>
    <t>Chất liệu: Ruột đồng , cách điện PVC -Dây điện từ 0.50</t>
  </si>
  <si>
    <t>Dây điện từ Ø 0.7mm</t>
  </si>
  <si>
    <t>Chất liệu: Ruột đồng , cách điện PVC -Dây điện từ 0.70</t>
  </si>
  <si>
    <t>Bàn quấn dây đồng</t>
  </si>
  <si>
    <t>Băng keo điện</t>
  </si>
  <si>
    <t>NANOCO màu cam</t>
  </si>
  <si>
    <t>Nanoco</t>
  </si>
  <si>
    <t>Băng keo giấy</t>
  </si>
  <si>
    <t>Băng keo giấy 50mm</t>
  </si>
  <si>
    <t>Cuộn</t>
  </si>
  <si>
    <t xml:space="preserve">Thanh ray nhôm </t>
  </si>
  <si>
    <t>Kích thước 1000x35x7</t>
  </si>
  <si>
    <t xml:space="preserve">Máng bán nguyệt 3P </t>
  </si>
  <si>
    <t>Tiến Phát DL30</t>
  </si>
  <si>
    <t>Màu sắc: trắng
– Chất liệu: nhựa PVC</t>
  </si>
  <si>
    <t>Cây</t>
  </si>
  <si>
    <t>Tiến Phát</t>
  </si>
  <si>
    <t xml:space="preserve">Máng bán nguyệt 4P </t>
  </si>
  <si>
    <t>Tiến Phát DL40</t>
  </si>
  <si>
    <t xml:space="preserve">Máng bán nguyệt 6P </t>
  </si>
  <si>
    <t>Tiến Phát DL60</t>
  </si>
  <si>
    <t xml:space="preserve">Máng bán nguyệt 8P </t>
  </si>
  <si>
    <t>Tiến Phát DL80</t>
  </si>
  <si>
    <t>Máng nhựa PVC 60x40mm</t>
  </si>
  <si>
    <t>SP 60x40 - GA60/02 SINO</t>
  </si>
  <si>
    <t>Chiều rộng 60mm
Chiều cao 40mm
Chiều dài 2m</t>
  </si>
  <si>
    <t>Máng điện 25x35 mm</t>
  </si>
  <si>
    <t>25x35 mm</t>
  </si>
  <si>
    <t>Chất liệu PVC
Kích thước (HxW) 35×25 mm
Khả năng chứa (tham khảo) 20~25 sợi cáp 2.0 mm2
Tiêu chuẩn RoHS, UL94 V-0
Chiều dài 2 mét/cây</t>
  </si>
  <si>
    <t xml:space="preserve">Cây </t>
  </si>
  <si>
    <t>Máng đi dây 35x35mm</t>
  </si>
  <si>
    <t>35x35x2000mm</t>
  </si>
  <si>
    <t>Chất liệu nhựa: PE</t>
  </si>
  <si>
    <t>Máng đi dây điện 25x45</t>
  </si>
  <si>
    <t>25x45mm</t>
  </si>
  <si>
    <t xml:space="preserve">Dây xoắn ống (ruột mèo), </t>
  </si>
  <si>
    <t>màu trắng, 4mm</t>
  </si>
  <si>
    <t>màu trắng, 8mm</t>
  </si>
  <si>
    <t>Ống nhựa D20</t>
  </si>
  <si>
    <t>Nanoco D=20mm – FPC20</t>
  </si>
  <si>
    <t>Đường kính : Ø20
Độ dày :1.55 ± 0.1
Lực nén :750N</t>
  </si>
  <si>
    <t>Hộp nhựa nút ấn 5 lỗ Ø22</t>
  </si>
  <si>
    <t>GOB-5A-YW phi 22</t>
  </si>
  <si>
    <t>Kích thước: 250x70x65 mm (Dài x Rộng x Cao).
– Vật liệu: Nhựa.
– IP: 65.</t>
  </si>
  <si>
    <t>Hộp nhựa 110x110x80 mm</t>
  </si>
  <si>
    <t>110x110x80 SINO SP E265/23</t>
  </si>
  <si>
    <t>Kích thước: 110x110x80mm</t>
  </si>
  <si>
    <t>Hộp nhựa 235x235x80mm</t>
  </si>
  <si>
    <t>235x235x80 SINO SP E265/53</t>
  </si>
  <si>
    <t>Kích thước: 235x235x80mm</t>
  </si>
  <si>
    <t>Bóng đèn tròn 9W + đui đèn</t>
  </si>
  <si>
    <t>Loại Compas - 9W - 220V</t>
  </si>
  <si>
    <t>Điện áp: 220V
- Tần số: 50Hz
- Công suất: 8W
- Tuổi thọ: 6.000h</t>
  </si>
  <si>
    <t>Điện Quang</t>
  </si>
  <si>
    <t>Đèn sợi đốt</t>
  </si>
  <si>
    <t xml:space="preserve"> 25w, 220V</t>
  </si>
  <si>
    <t>Công suất: 25W
Đầu đèn: E27
Đường kính vỏ bóng: 50 mm</t>
  </si>
  <si>
    <t xml:space="preserve">Cái </t>
  </si>
  <si>
    <t>Rạng Đông</t>
  </si>
  <si>
    <t>Cút nối dây điện bắt vít</t>
  </si>
  <si>
    <t>Cút nối dây điện bắt vít PA8</t>
  </si>
  <si>
    <t>Công tắc gạt 2 cực</t>
  </si>
  <si>
    <t>Hanyoung CRS-252A1 25mm</t>
  </si>
  <si>
    <t>cần ngắn, 2 vị trí, tự giữ, 1a1b</t>
  </si>
  <si>
    <t>Công tắc gat 3 cực</t>
  </si>
  <si>
    <t>Hanyoung CRS-253A1 25mm</t>
  </si>
  <si>
    <t>cần ngắn, 3 vị trí, tự giữ, 1a1b</t>
  </si>
  <si>
    <t>Công tắc 2 cực</t>
  </si>
  <si>
    <t>Sino Vanlock S30M</t>
  </si>
  <si>
    <t>Công tắc 3 cực</t>
  </si>
  <si>
    <t>Sino Vanlock S30MI</t>
  </si>
  <si>
    <t>Công tắc trung gian đa chiều
Điện áp sử dụng: 220V-240V/50Hz</t>
  </si>
  <si>
    <t>Công tắc 2 cực (VANLOCK)</t>
  </si>
  <si>
    <t>Công tắc + ổ cắm - 10A - 220V</t>
  </si>
  <si>
    <t>220V – 10A
Màu sắc: Trắng.</t>
  </si>
  <si>
    <t>Công tắc 3 cực (VANLOCK)</t>
  </si>
  <si>
    <t>Công tắc + ổ cắm- 10A - 220V</t>
  </si>
  <si>
    <t>Ổ cắm Sino đôi 3 chấu</t>
  </si>
  <si>
    <t>Sino S18UE2</t>
  </si>
  <si>
    <t>2 Ổ cắm 3 chấu 16A-250VAC
Điện áp sử dụng: 220V-240V/50Hz</t>
  </si>
  <si>
    <t>Mặt nạ 2 công tắc + ổ cắm</t>
  </si>
  <si>
    <t>Sino</t>
  </si>
  <si>
    <t>Đế nổi</t>
  </si>
  <si>
    <t>Sino CK157RH</t>
  </si>
  <si>
    <t>Kích thước: 120x70x35(mm)</t>
  </si>
  <si>
    <t>Ổ Cắm công nghiệp 1pha 16A</t>
  </si>
  <si>
    <t>Loại 1 pha 3 dây</t>
  </si>
  <si>
    <t>Ổ Cắm công nghiệp 3pha 16A</t>
  </si>
  <si>
    <t>Loại 3 pha 5 dây</t>
  </si>
  <si>
    <t xml:space="preserve">Bộ </t>
  </si>
  <si>
    <t>Ủng cao su cách điện cách điện</t>
  </si>
  <si>
    <t>Chất liệu: Cao su tự nhiên cách điện. Điện áp sử dụng tối đa cho AC: 500V. Điện áp sử dụng tối đa cho DC: 750V</t>
  </si>
  <si>
    <t>Đôi</t>
  </si>
  <si>
    <t>Garan</t>
  </si>
  <si>
    <t>Đèn cây 3 màu</t>
  </si>
  <si>
    <t>QLIGHT ST45BF-3-24-RAG 3 tầng 24VDC D45</t>
  </si>
  <si>
    <t>Qlight</t>
  </si>
  <si>
    <t>Rulô điện công nghiệp 25m</t>
  </si>
  <si>
    <t>dài 25m.</t>
  </si>
  <si>
    <t>YATO</t>
  </si>
  <si>
    <t>BA LAN</t>
  </si>
  <si>
    <t>Pin AA 1,5V</t>
  </si>
  <si>
    <t>Cặp</t>
  </si>
  <si>
    <t>Pin AAA, 1.5V</t>
  </si>
  <si>
    <t>ENERGIZER MAX E92 BP4</t>
  </si>
  <si>
    <t>Điện áp 1.5V
Chất liệu Pin Kiềm</t>
  </si>
  <si>
    <t>ENERGIZER</t>
  </si>
  <si>
    <t>USA</t>
  </si>
  <si>
    <t>Pin AA 3300 mAh</t>
  </si>
  <si>
    <t>Beston 3300mAh</t>
  </si>
  <si>
    <t>Loại pin: AA
Điện áp: 1.2V.  Công suất định mức: 3300mAh</t>
  </si>
  <si>
    <t>BESTON</t>
  </si>
  <si>
    <t>Pin AAA 1300 mAh</t>
  </si>
  <si>
    <t>Beston 1300mAh</t>
  </si>
  <si>
    <t>Loại pin: AAA
Điện áp: 1.2V.  Công suất định mức: 1300mAh</t>
  </si>
  <si>
    <t>Pin Cmos</t>
  </si>
  <si>
    <t>CR2032 - Maxell Lithium 3V</t>
  </si>
  <si>
    <t>Chất liệu : Pin Lithium cao cấp
Dung lương pin : từ 220 – 250 mAh</t>
  </si>
  <si>
    <t>Vỉ</t>
  </si>
  <si>
    <t>MAXELL</t>
  </si>
  <si>
    <t>Pin vuông 9 volt</t>
  </si>
  <si>
    <t>Pin vuông 9V Energizer SP000556</t>
  </si>
  <si>
    <t>Biến trở tinh chỉnh</t>
  </si>
  <si>
    <t>10K 3590S-2-103L 2W</t>
  </si>
  <si>
    <t>Giá trị điện trở max
10 KOhm
Sai số
± 5%</t>
  </si>
  <si>
    <t>Board đồng 300x200mm</t>
  </si>
  <si>
    <t>Boad đồng 300x200mm</t>
  </si>
  <si>
    <t>Kích thước: 20 x 30cm
Độ dày: 1.5mm
Số lớp: 2 lớp
Nhiệt độ chịu tải: lên đến 140°C hoặc 285°F</t>
  </si>
  <si>
    <t>Còi báo HY-256-2</t>
  </si>
  <si>
    <t>HY-256-2 Hanyoung</t>
  </si>
  <si>
    <t>Type: Mặt tròn
 Lắp đặt: Lắp trên cánh tủ
 Lỗ khoét: Phi 25</t>
  </si>
  <si>
    <t>Ống hút chì hàn (loại GOOT GS-100)</t>
  </si>
  <si>
    <t>MIS-100-651</t>
  </si>
  <si>
    <t>Dài 250mm</t>
  </si>
  <si>
    <t>TAIYO</t>
  </si>
  <si>
    <t>Chì hàn</t>
  </si>
  <si>
    <t>0.6/1.0mm</t>
  </si>
  <si>
    <t>ASAHI</t>
  </si>
  <si>
    <t>Thiếc hàn 0.8mm</t>
  </si>
  <si>
    <t>0.8mm</t>
  </si>
  <si>
    <t>Nhật Minh</t>
  </si>
  <si>
    <t>Mỡ hàn thiếc</t>
  </si>
  <si>
    <t xml:space="preserve">Khối Lượng: 150g.
Màu Vàng.
Nhiệt độ nóng chảy : 60 Độ.
</t>
  </si>
  <si>
    <t>Hộp</t>
  </si>
  <si>
    <t>Bộ nguồn 24VDC DPS-30S-24</t>
  </si>
  <si>
    <t>Hanyoung DPS-30S-24 30W 24VDC</t>
  </si>
  <si>
    <t>Nguồn cấp 100…240VAC
Công suất đầu ra 30W
Điện áp đầu ra 24VDC
Dòng điện đầu ra 1.25A</t>
  </si>
  <si>
    <t>Công Tắc Điều Khiển Cửa Cuốn WiFi</t>
  </si>
  <si>
    <t>Hunonic</t>
  </si>
  <si>
    <t>Điện Áp: 90-250V, tần số 50-60Hz
Giao Tiếp: Wifi 2.4GHz, 3G, 4G, Bluetooth.
Kích Thước: 120x72x32mm
Mặt Kính Cường Lực Cao Cấp.</t>
  </si>
  <si>
    <t>Chuông cửa Camera có hình Tuya Wifi/Lan/POE</t>
  </si>
  <si>
    <t>Tuya Wifi/Lan/POE</t>
  </si>
  <si>
    <t>Camera : độ phân giải 1080p
Góc quan sát : 120°
Độ nhạy sáng : 0,001Lux
Chức năng : phát hiện chuyển động
Khoảng cách tầm nhìn ban đêm : 10 mét
Chỉ số IP : IP55
Nguồn : 12-15V ( hỗ trợ nguồn điện POE )
Tốc độ truyền dữ liệu WIFI : 2.4GHZ
Phương thức kết nối : dây mạng Lan/WiFi</t>
  </si>
  <si>
    <t>TUYA</t>
  </si>
  <si>
    <t>Công tắc thông minh sw1 Wifi</t>
  </si>
  <si>
    <t xml:space="preserve">MPE sw1 Wifi
</t>
  </si>
  <si>
    <t>Kích thước:nbsp;120mm x 72mm x 43mm
Tải định mức:nbsp;1.000W/ gang, 5A</t>
  </si>
  <si>
    <t>Công tắc thông minh sw2 Wifi</t>
  </si>
  <si>
    <t xml:space="preserve">MPE sw2 Wifi
</t>
  </si>
  <si>
    <t>Kích thước: 120mm x 72mm x 43mm
Tải định mức: 1.000W/ gang
LED: 150W max/gang</t>
  </si>
  <si>
    <t>Công tắc thông minh sw3 Wifi</t>
  </si>
  <si>
    <t xml:space="preserve">MPE sw3 Wifi
</t>
  </si>
  <si>
    <t>Công tắc thông minh sw4 Wifi</t>
  </si>
  <si>
    <t xml:space="preserve">MPE sw4 Wifi
</t>
  </si>
  <si>
    <t>Ổ cắm thông minh Tuya điều khiển từ xa</t>
  </si>
  <si>
    <t>TX T2US T3US 3 kênh</t>
  </si>
  <si>
    <t>Wifi, Sạc USB 15A SPS1 MPE</t>
  </si>
  <si>
    <t>Nguồn điện: 220VAC
Công suất USB: 5V, 2.1A
Dòng điện: 15A
Kết nối Wifi: 2.4Ghz
Tần số: 50Hz
MPE Smart Power Strip size: 335mm x 65mm x 40mm</t>
  </si>
  <si>
    <t>Ổ cắm đôi 3 chấu thông minh Wifi MPE (SO2/SC)</t>
  </si>
  <si>
    <t>MPE (SO2/SC)</t>
  </si>
  <si>
    <t>Thiết bị đóng cắt thông minh MPE MCBS-263</t>
  </si>
  <si>
    <t>MPE MCBS-263</t>
  </si>
  <si>
    <t>Số cực: 2P
Dòng định mức In (A): 63A
Icu (kA): 6kA
Điều khiển từ xa bằng ứng dụng MPE Smart Breaker với kết nối wifi</t>
  </si>
  <si>
    <t>Chuông cửa camera panasonic đàm thoại 2 chiều Mã SP: VL-SV71 (7’’)</t>
  </si>
  <si>
    <t>Bộ chuông hình 7inch PANASONIC VL-SV71VN</t>
  </si>
  <si>
    <t>Loại màn hình Màn hình LCD có màu
Kích thước màn hình Màn hình 7 inch
Kiểu đàm thoại Loại rảnh tay
Nguồn điện 110 – 240VAC</t>
  </si>
  <si>
    <t>Cảm biến khói thông minh Wifi</t>
  </si>
  <si>
    <t>CB11.SM.WF RẠNG ĐÔNG</t>
  </si>
  <si>
    <t>Nguồn cung cấp: Pin CR123A
Dải nhiệt độ hoạt động: (-10 - 50)°C
Dải độ ẩm hoạt động: (0 - 95)%
Kích thước (ØxC): (86x32)mm</t>
  </si>
  <si>
    <t>Biến dòng TI</t>
  </si>
  <si>
    <t>Tỷ số (50÷100)/5A</t>
  </si>
  <si>
    <t>Điện áp định mức: 600VAC
Dòng điện sơ cấp: 500A
Dòng điện thứ cấp: 5A
Tỷ số biến dòng: 500/5A 
Cấp chính xác: 0.5
Dung lượng: 5VA
Số vòng dây sơ cấp: 1
Kiểu: CT0.6</t>
  </si>
  <si>
    <t>EMIC</t>
  </si>
  <si>
    <t>Dây mồi để luồn dây điện</t>
  </si>
  <si>
    <t>Dài: (5÷20)m</t>
  </si>
  <si>
    <t>Dây</t>
  </si>
  <si>
    <t>Ốc siết cáp</t>
  </si>
  <si>
    <t>PG16</t>
  </si>
  <si>
    <t>Chất liệu Nylon 66
Kiểu PG16
Đường kính (O.D) ﻿﻿Ø ﻿22 mm
Cáp tương thích (Ø) 10~14 mm
Màu (tùy chọn khi đặt hàng) Xám, đen
Tiêu chuẩn 94V-2</t>
  </si>
  <si>
    <t>PG19</t>
  </si>
  <si>
    <t>PG21</t>
  </si>
  <si>
    <t>PG25</t>
  </si>
  <si>
    <t>Cút Nối Dây Điện CH2</t>
  </si>
  <si>
    <t>CH2</t>
  </si>
  <si>
    <t>Cút nối dây điện KV774</t>
  </si>
  <si>
    <t>KV774 (3 cổng)</t>
  </si>
  <si>
    <t>Điện áp định mức 250V/4KV
Dòng định mức 32A
Số cổng 2 đầu 3 cổng
Hỗ trợ cỡ dây Dây cứng 1 hoặc nhiều lõi(0.08-2.5mm2)
Dây mềm (0.08 – 4mm2)
Chất liệu PA66
Kích thước Dài 4cm x Rộng 1.8cm x Cao 1.5cm</t>
  </si>
  <si>
    <t>Cút nối dây điện nhanh 2 đầu KV774-P2</t>
  </si>
  <si>
    <t>2 đầu KV774-P2</t>
  </si>
  <si>
    <t>Điện áp 
4kV
Dòng điện 
32A
Số cực 
2, 3, 4</t>
  </si>
  <si>
    <t>Chuông điện 220V</t>
  </si>
  <si>
    <t>Đường kính 10cm</t>
  </si>
  <si>
    <t>Đường kính: 10cm ( 4 inch)
– Độ vang xa: 400-600m2 nhà xưởng có thể nghe được
– Lắp đặt: gắn tường, trần
– Cấp điện: 220VAC
– Màu sắc: đỏ</t>
  </si>
  <si>
    <t>ATA</t>
  </si>
  <si>
    <t>Mác ghi tên đèn báo Ø22</t>
  </si>
  <si>
    <t>Omega OMG-EH2208</t>
  </si>
  <si>
    <t>Loại Nhãn tên
Sản phẩm tương thích Nút nhấn Ø22</t>
  </si>
  <si>
    <t xml:space="preserve">Nhãn dán tủ điện </t>
  </si>
  <si>
    <t>Ø 22mm2</t>
  </si>
  <si>
    <t>Lò xo uốn ống Ø20</t>
  </si>
  <si>
    <t>Ø20</t>
  </si>
  <si>
    <t>Lò xo uốn ống Ø22</t>
  </si>
  <si>
    <t>Ø22</t>
  </si>
  <si>
    <t>Lò xo uốn ống Ø25</t>
  </si>
  <si>
    <t>Ø25</t>
  </si>
  <si>
    <t>Nắp bịt lỗ tủ điện phi 22mm</t>
  </si>
  <si>
    <t>phi 22mm</t>
  </si>
  <si>
    <t>Nắp bịt lỗ tủ điện phi 25mm</t>
  </si>
  <si>
    <t>phi 25mm</t>
  </si>
  <si>
    <t>PLC Omron CP1E-E30DR-A (16 In / 14 Out Relay)</t>
  </si>
  <si>
    <t>Omron CP1E-E30DR-A (16 In / 14 Out Relay)</t>
  </si>
  <si>
    <t>Nguồn cấp 100-240 VAC
– Ngõ vào số: 18
– Ngõ ra relay: 12
– Max I/O : 150 I/O
– Kết nối với Module mở rộng tương tự như loại CP1L
– 2 núm xoay chỉnh giá trị analog (8 bit) trong PLC
– 6 đầu vào tốc độ cao 10kHz
– Bộ nhớ 2Kstep
– Chức năng Smart I</t>
  </si>
  <si>
    <t>PLC Mitsubishi FX3G-24MT/ES (14 In / 10 Out Transistor)</t>
  </si>
  <si>
    <t>Mitsubishi FX3G-24MT/ES (14 In / 10 Out Transistor)</t>
  </si>
  <si>
    <t>ên sản phẩm FX3G-24MT/ES
Type FX3G
Power Supply (V) 100-240
Current Type AC
Program Memory 32K STEPS
Program Memory Unit EEPROM
Integrated Digital Inputs 14
Integrated Digital Outputs 10
Output Type TRANSISTOR
Output Logic SINK</t>
  </si>
  <si>
    <t>Mitsubishi</t>
  </si>
  <si>
    <t>Router 4G APTEK L300 (Bộ định tuyến)</t>
  </si>
  <si>
    <t>Nguồn điện: 230 VAC
1 Fast Ethernet WAN, cổng RJ-45.
4 Fast Ethernet LAN, cổng RJ45.
Hai ăng-ten phát sóng Wi-Fi đa hướng, chuẩn 802.11n băng tần 2,4 GHz với tốc độ 300Mbps
2 ăng-ten LTE đa hướng có thể tháo rời</t>
  </si>
  <si>
    <t>Aptek</t>
  </si>
  <si>
    <t>Thẻ nhớ MicroSD MB-MC128GA/APC</t>
  </si>
  <si>
    <t>Dung lượng 128GB, Interface: UHS-I, HS compatible Speed Class: Grade 3, Class 10 Read and write speed: 100MB/s/90MB/s (with UHS-1 interface)</t>
  </si>
  <si>
    <t>Samsung</t>
  </si>
  <si>
    <t>Đầu đọc thẻ nhớ đa năng USB</t>
  </si>
  <si>
    <t>Chiều dài cáp : 0.5m
Tính năng: kết nối USB 3.0 , với chip xử lý GL3223 
Với ​​chuẩn USB 3.0, tốc độ hỗ trợ lên đến 5Gbps
Thiết kế tất cả trong một với khe cắm thẻ CF/SD/TF/MS, hỗ trợ đọc thẻ nhớ 512GB không chậm trễ. 
Hỗ trợ 4 thẻ đọc hoặc ghi đồng thời. 
Tương thích với Windows XP / Vista / 7/8 / 8.1. / 10, Mac OS, Linux</t>
  </si>
  <si>
    <t>Ugreen</t>
  </si>
  <si>
    <t>Dây cáp mạng CAT6</t>
  </si>
  <si>
    <t>Tốc độ: 10/100/1000 Mbps và 10 Gigabit Ethernet (Khoảng cách ngắn), 
Tần số: đến 250MHz
Khoảng cách làm việc tốt nhất: 70-90m
Bước xoắn dây: 23 AWG</t>
  </si>
  <si>
    <t>Met</t>
  </si>
  <si>
    <t>Vinacap</t>
  </si>
  <si>
    <t>Đầu bấm mạng RJ-45 Cat 6 chống nhiễu</t>
  </si>
  <si>
    <t>- Hạt mạng RJ45 cat6a làm từ nhựa trong dẻo , bọc sắt bền chắc. Chân tiếp xúc từ đồng nguyên chất.
- Cấu tạo chất liệu nhựa cao cấp nên chống được tình trạng gãy vỡ trong quá trình thực hiện thi công.
- Khả năng tương thích với cáp mạng Cat6, Cat6a
- Đầu mạng thích hợp với các dây cáp có đường kính 0.25 inch đến 0.4 inch.</t>
  </si>
  <si>
    <t>Bộ chia mạng 5 cổng</t>
  </si>
  <si>
    <t>Tốc độ LAN: Gigabit (1000Mbps)
Số cổng: 5 Cổng
Cổng kết nối: Cổng RJ45 10/100/1000Mbps tính năng tự động đàm phán, hỗ trợ Auto MDI/MDIX
Kiểu Switch: Switch Gigabit (1000Mbps)
Chất liệu vỏ: Vỏ Thép</t>
  </si>
  <si>
    <t>TP-Link</t>
  </si>
  <si>
    <t>Nhựa In 3D màu xanh dương</t>
  </si>
  <si>
    <t>Vật liệu: PLA
Màu sắc: Xanh dương
Đường kính sợi: 	1.75mm
Tốc độ in: 	50-100 mm/s
Trọng lượng: 	1kg
Nhiệt độ in: 	180°C - 200°C</t>
  </si>
  <si>
    <t>Nhựa In 3D màu đỏ</t>
  </si>
  <si>
    <t>Vật liệu: PLA
Màu sắc: Đỏ
Đường kính sợi: 	1.75mm
Tốc độ in: 	50-100 mm/s
Trọng lượng: 	1kg
Nhiệt độ in: 	180°C - 200°C</t>
  </si>
  <si>
    <t>Nhựa In 3D màu vàng</t>
  </si>
  <si>
    <t>Vật liệu: PLA
Màu sắc: Vàng
Đường kính sợi: 	1.75mm
Tốc độ in: 	50-100 mm/s
Trọng lượng: 	1kg
Nhiệt độ in: 	180°C - 200°C</t>
  </si>
  <si>
    <t>Bộ KIT học lập trình Arduino UNO R3</t>
  </si>
  <si>
    <t>UNO R3 starter kit</t>
  </si>
  <si>
    <t>Mạch Điều Khiển Động Cơ Bước A4988</t>
  </si>
  <si>
    <t>A4988, 35VDC/2A</t>
  </si>
  <si>
    <t>Mạch Điều Khiển Động Cơ DC L298N</t>
  </si>
  <si>
    <t>L298N, 5~30VDC/2A</t>
  </si>
  <si>
    <t>IC chính: L298
Điện áp hoạt động: 5~30VDC
Công suất tối đa: 25W 1 cầu (lưu ý công suất = dòng điện x điện áp nên áp cấp vào càng cao, dòng càng nhỏ, công suất có định 25W).
Dòng tối đa cho mỗi cầu H là: 2A
Mức điện áp logic: Low -0.3V~1.5V, High: 2.3V~Vss
Kích thước: 43x43x27mm</t>
  </si>
  <si>
    <t>Đầu mạng RJ45 Cat.5e UTP APTEK (501-01001)</t>
  </si>
  <si>
    <t>RJ45 Cat.5e UTP APTEK (501-01001)</t>
  </si>
  <si>
    <t>Đầu chụp hạt mạng RJ45 loại dành cho CAT5 và CAT6 (Loại 100 cái/Bịch)</t>
  </si>
  <si>
    <t xml:space="preserve">Hộp test cáp mạng </t>
  </si>
  <si>
    <t>SY-168 đa năng RJ45 + RJ11+ USB</t>
  </si>
  <si>
    <t>Bộ nguồn tổ ong omron 3A</t>
  </si>
  <si>
    <t>Nguồn cấp  100 – 240 VAC, 50/60 Hz. 1 pha
Điện áp ngõ ra  12VDC. Có thể điều chỉnh −10% đến 10% (bằng biến trở)
Dòng điện ngõ ra  3A
Công suất tiêu thụ 35W
Bảo vệ quá tải ngõ ra  Có. Tự động Reset
Bảo vệ quá áp  Bộ nguồn tự động ngắt khi điện áp ngõ ra vượt quá 115%</t>
  </si>
  <si>
    <t>Jack nguồn 24V cho HMI Siemens</t>
  </si>
  <si>
    <t>US Stock - Siemens 6AV6671-8XA00-0AX0 SIMATIC HMI Connector</t>
  </si>
  <si>
    <t>Kích thước 9,30 x 11,20 x 2,80
Khối lượng 0,063 Kg</t>
  </si>
  <si>
    <t>Siemens</t>
  </si>
  <si>
    <t>Mực in lazer toner 337 Cartridge</t>
  </si>
  <si>
    <t>Canon</t>
  </si>
  <si>
    <t>Hộp mực in Brother TN 2385</t>
  </si>
  <si>
    <t>Brother TN 2385</t>
  </si>
  <si>
    <t>Brother</t>
  </si>
  <si>
    <t>Drum Brother TN 2385</t>
  </si>
  <si>
    <t>Bình mực Brother TN 2385</t>
  </si>
  <si>
    <t>Bình</t>
  </si>
  <si>
    <t>Ổ cứng King ton SSD A400 - 480GB Sata 3</t>
  </si>
  <si>
    <t>King ton SSD A400 - 480GB Sata 3</t>
  </si>
  <si>
    <t>Chuẩn giao tiếp: sata III 6Gbps
Kích thước: 2.5 inch, 6.8mm
Dung lượng: 480Gb
Tốc độ đọc: 500MB/s
Tốc độ ghi: 450MB/s</t>
  </si>
  <si>
    <t>King ton</t>
  </si>
  <si>
    <t>Nhân mạng Cat5E AMP/Commscope (1375191-1)</t>
  </si>
  <si>
    <t>Cat5E AMP/Commscope (1375191-1)</t>
  </si>
  <si>
    <t xml:space="preserve">Tiếp điểm: Hợp kim đồng, Mạ vàng dày 1.27μm bên trên
– Khả năng tái đấu nối với cổng RJ45: ≥750 lần
– Đấu nối tiếp điểm : 200 lần
</t>
  </si>
  <si>
    <t>Hạt</t>
  </si>
  <si>
    <t>AMP/Commscope</t>
  </si>
  <si>
    <t>Dụng cụ tuốt dây mạng, thoại APTEK (Mã số:11124836)</t>
  </si>
  <si>
    <t>APTEK (Mã số:11124836)</t>
  </si>
  <si>
    <t>Kìm bấm đầu mạng UNITEK</t>
  </si>
  <si>
    <t>Chất liệu: Cán Nhựa, Lưới thép không gỉ.</t>
  </si>
  <si>
    <t>Unitek</t>
  </si>
  <si>
    <t>Hong Kong</t>
  </si>
  <si>
    <t>Bàn ren + tay quay</t>
  </si>
  <si>
    <t>M5; Kèm theo Tay quay</t>
  </si>
  <si>
    <t>Kích thước: M5 x 0.8, OD20mm</t>
  </si>
  <si>
    <t>SKC</t>
  </si>
  <si>
    <t>M6; Kèm theo Tay quay</t>
  </si>
  <si>
    <t>Kích thước: M6 x 10, OD20mm</t>
  </si>
  <si>
    <t>M8; Kèm theo Tay quay</t>
  </si>
  <si>
    <t>Kích thước: M8 x 1.25, OD25mm</t>
  </si>
  <si>
    <t>M10; Kèm theo Tay quay</t>
  </si>
  <si>
    <t>Kích thước: M10 x 1.5, OD25mm</t>
  </si>
  <si>
    <t>M12; Kèm theo Tay quay</t>
  </si>
  <si>
    <t>Kích thước: M12 x 1.75, OD25mm</t>
  </si>
  <si>
    <t>M16; Kèm theo Tay quay</t>
  </si>
  <si>
    <t>Kích thước: M16 x 2.0, OD38mm</t>
  </si>
  <si>
    <t>Tarô (3 mũi/bộ)</t>
  </si>
  <si>
    <t>Kích thước: M4</t>
  </si>
  <si>
    <t>HTD</t>
  </si>
  <si>
    <t>Kích thước: M5</t>
  </si>
  <si>
    <t>Kích thước ren M5 x 0.8
Đường kính khoan ren 5mm
Bước ren 0.8 mm
Tổng chiều dài mỗi mũi: 60mm
Chiều dài phần ren: 22mm
Đường kính chuôi: 5.5mm
Vật liệu chế tạo: Thép gió hợp kim HSS Tungsten
Số bước ren phay mũi thô: 8 - 10
Số bước ren phay mũi bán tinh: 3 - 5
Số bước ren phay mũi tinh: 0.5</t>
  </si>
  <si>
    <t>Kích thước: M6</t>
  </si>
  <si>
    <t>Kích thước: M8</t>
  </si>
  <si>
    <t>Kích thước ren M8 x 1.0
Đường kính khoan ren 8mm
Bước ren 1.0 mm
Tổng chiều dài mỗi mũi: 70mm
Chiều dài phần ren: 30 mm
Đường kính chuôi: 6.2 mm
Vật liệu chế tạo: Thép gió hợp kim HSS Tungsten
Số bước ren phay mũi thô: 8 - 10
Số bước ren phay mũi bán tinh: 3 - 5
Số bước ren phay mũi tinh: 0.5</t>
  </si>
  <si>
    <t>Kích thước: M10</t>
  </si>
  <si>
    <t>Vật liệu chế tạo : Thép gió (HSS)
Đường kính ren : 10mm 
Bước ren: 1.25mm
Tổng chiều dài mỗi mũi: 70mm
Chiều dài phần ren: 30 mm
Đường kính chuôi: 6.2 mm
Vật liệu chế tạo: Thép gió hợp kim HSS Tungsten</t>
  </si>
  <si>
    <t xml:space="preserve">Kích thước: M12 </t>
  </si>
  <si>
    <t>Kích thước ren M12 x 1.75
Đường kính khoan ren 12mm
Bước ren 1.75 mm
Tổng chiều dài mỗi mũi: 82mm
Chiều dài phần ren: 38 mm
Đường kính chuôi: 8.5 mm
Vật liệu chế tạo: Thép gió hợp kim HSS Tungsten
Số bước ren phay mũi thô: 8 - 10
Số bước ren phay mũi bán tinh: 3 - 5
Số bước ren phay mũi tinh: 0.5</t>
  </si>
  <si>
    <t xml:space="preserve">Cuộn dây cho máy cắt dây EDM </t>
  </si>
  <si>
    <t>- Đường kính dây: Ø0.25</t>
  </si>
  <si>
    <t>TAIWAN</t>
  </si>
  <si>
    <t>ION cho máy cắt dây EDM</t>
  </si>
  <si>
    <t>Loại thông dụng trên thị trường</t>
  </si>
  <si>
    <t>Chíp dao phay mặt đầu</t>
  </si>
  <si>
    <t>- Góc nghiêng 45⁰
- Đường kính dao: Ø90 mm
- Phù hợp với cán dao</t>
  </si>
  <si>
    <t>Mitshubishi</t>
  </si>
  <si>
    <t>Chíp dao phay</t>
  </si>
  <si>
    <t>- Góc nghiêng 90⁰
- Đường kính dao: Ø20 mm
- Phù hợp với cán dao</t>
  </si>
  <si>
    <t xml:space="preserve">Chíp tiện thô ngoài </t>
  </si>
  <si>
    <t>- Loại cắt thép và Inox
- Góc 80 độ
- Phù hợp với cán dao</t>
  </si>
  <si>
    <t>Chíp tiện tinh ngoài</t>
  </si>
  <si>
    <t>- Loại cắt thép và Inox
- Góc 55 độ
- Phù hợp với cán dao</t>
  </si>
  <si>
    <t>Chíp tiện rãnh ngoài</t>
  </si>
  <si>
    <t>- Loại cắt thép và Inox
- Bề rộng rãnh 3mm
- Phù hợp với cán dao</t>
  </si>
  <si>
    <t>KOLOY</t>
  </si>
  <si>
    <t>Chíp tiện ren ngoài</t>
  </si>
  <si>
    <t>- Loại cắt thép và Inox
- Góc đỉnh ren 60 độ
- Phù hợp với cán dao</t>
  </si>
  <si>
    <t>DESKAR</t>
  </si>
  <si>
    <t>Chíp tiện lỗ thô</t>
  </si>
  <si>
    <t xml:space="preserve">Chíp tiện lỗ tinh </t>
  </si>
  <si>
    <t>Chíp tiện rãnh trong</t>
  </si>
  <si>
    <t>- Loại cắt thép và Inox
- Bề rộng b=2mm
- Phù hợp với cán dao</t>
  </si>
  <si>
    <t xml:space="preserve">Chíp tiện ren trong </t>
  </si>
  <si>
    <t>Chíp khoan Solid drill</t>
  </si>
  <si>
    <t>- Đường kính mũi khoan Ø25 mm</t>
  </si>
  <si>
    <t>- Đường kính mũi khoan Ø15 mm</t>
  </si>
  <si>
    <t>HONGDA</t>
  </si>
  <si>
    <t>4 me, 3x6x12x60</t>
  </si>
  <si>
    <t xml:space="preserve">Dao phay ngón </t>
  </si>
  <si>
    <t>Đường kính Ø1; Phủ HKC</t>
  </si>
  <si>
    <t>Kích thước: 1 mm</t>
  </si>
  <si>
    <t>Nachi</t>
  </si>
  <si>
    <t>Đường kính Ø1.5; Phủ HKC</t>
  </si>
  <si>
    <t>Kích thước: 1.5 mm</t>
  </si>
  <si>
    <t>Đường kính Ø2; Phủ HKC</t>
  </si>
  <si>
    <t>Kích thước: 2 mm</t>
  </si>
  <si>
    <t>Đường kính Ø4; Phủ HKC</t>
  </si>
  <si>
    <t>Kích thước: 4 mm</t>
  </si>
  <si>
    <t>Đường kính Ø5; Phủ HKC</t>
  </si>
  <si>
    <t>Kích thước: 5 mm</t>
  </si>
  <si>
    <t>Đường kính Ø6; tinh Phủ HKC</t>
  </si>
  <si>
    <t>Kích thước: 6 mm</t>
  </si>
  <si>
    <t>Đường kính Ø8, thô; Phủ HKC</t>
  </si>
  <si>
    <t>Kích thước: 8 mm</t>
  </si>
  <si>
    <t>Đường kính Ø8, tinh; Phủ HKC</t>
  </si>
  <si>
    <t>Đường kính Ø10, thô; Phủ HKC</t>
  </si>
  <si>
    <t>Kích thước: 10 mm</t>
  </si>
  <si>
    <t>Đường kính Ø10, tinh; Phủ HKC</t>
  </si>
  <si>
    <t>Đường kính Ø12; tinh Phủ HKC</t>
  </si>
  <si>
    <t>Kích thước: 12 mm</t>
  </si>
  <si>
    <t>Đường kính Ø14; tinh Phủ HKC</t>
  </si>
  <si>
    <t>Kích thước: 14 mm</t>
  </si>
  <si>
    <t>Đường kính Ø16; tinh Phủ HKC</t>
  </si>
  <si>
    <t>Kích thước: 16 mm</t>
  </si>
  <si>
    <t>Đường kính Ø18; tinh Phủ HKC</t>
  </si>
  <si>
    <t>Kích thước: 18 mm</t>
  </si>
  <si>
    <t>Đường kính Ø20; tinh Phủ HKC</t>
  </si>
  <si>
    <t>Kích thước: 20 mm</t>
  </si>
  <si>
    <t>Dao phay ngón (có cung bo R0,5; bullmill)</t>
  </si>
  <si>
    <t>Handstone</t>
  </si>
  <si>
    <t>Đường kính Ø6; Phủ HKC</t>
  </si>
  <si>
    <t>Đường kính Ø8, Phủ HKC</t>
  </si>
  <si>
    <t>Dao cầu</t>
  </si>
  <si>
    <t>Đường kính Ø0,3; Phủ HKC</t>
  </si>
  <si>
    <t>Kích thước: R0.5 đến R9
Vật liệu gia công: Nhôm, Sắt, Thép,…
Độ cứng: 55HRC
Me cắt: 2F</t>
  </si>
  <si>
    <t>VÂN TẬP</t>
  </si>
  <si>
    <t>Đường kính Ø0,5; Phủ HKC</t>
  </si>
  <si>
    <t>Đường kính Ø8; Phủ HKC</t>
  </si>
  <si>
    <t>Đường kính Ø10; Phủ HKC</t>
  </si>
  <si>
    <t>Cán dao phay 2 mảnh cắt (insert)</t>
  </si>
  <si>
    <t>Đường kính cán: Ø20
Kèm 1 hộp 10 mảnh cắt (insert)</t>
  </si>
  <si>
    <t>HUTSCOM</t>
  </si>
  <si>
    <t>Dao phay rãnh chữ T</t>
  </si>
  <si>
    <t>Ø21, HKC hoặc phủ
Loại thông dụng trên thị trường</t>
  </si>
  <si>
    <t>THẮNG LỢI</t>
  </si>
  <si>
    <t>Dao tiện lỗ 12</t>
  </si>
  <si>
    <t>Cán vuông 12, hàn mảnh HKC
Loại thông dụng trên thị trường</t>
  </si>
  <si>
    <t>Dao tiện ngoài 12</t>
  </si>
  <si>
    <t>Thắng Lơi</t>
  </si>
  <si>
    <t>VN</t>
  </si>
  <si>
    <t>Dao tiện rãnh ngoài 12</t>
  </si>
  <si>
    <t>Bề rộng 3mm, hàn mảnh HKC
Loại thông dụng trên thị trường</t>
  </si>
  <si>
    <t xml:space="preserve">Dao tiện rãnh ngoài </t>
  </si>
  <si>
    <t>- Cán 20x20,  HKC
- Bề rộng rảnh 2 mm</t>
  </si>
  <si>
    <t>Dao tiện rãnh trong</t>
  </si>
  <si>
    <t>- Cán Ø16,  HKC
- Bề rộng là 2 mm</t>
  </si>
  <si>
    <t xml:space="preserve">Dao tiện tinh ngoài </t>
  </si>
  <si>
    <t>- Cán 20x20
- Góc 55 độ</t>
  </si>
  <si>
    <t>Cán dao gắn chíp tiện ngoài cán phải</t>
  </si>
  <si>
    <t>Kích thước cán vuông 12. Mã SCLCR1212H06</t>
  </si>
  <si>
    <t>Cán dao gắn chíp tiện ngoài đầu thẳng</t>
  </si>
  <si>
    <t>Kích thước cán vuông 12. Mã SSDCN1212H09</t>
  </si>
  <si>
    <t>Cán dao gắn chíp tiện rãnh</t>
  </si>
  <si>
    <t>Kích thước cán vuông 12. Mã MGEHR1212-2</t>
  </si>
  <si>
    <t>Mảnh dao chíp tiện C06</t>
  </si>
  <si>
    <t>Mã CCGT060204 chuyên tiện nhôm, đồng, nhựa</t>
  </si>
  <si>
    <t>Hình dạng: Insert C sử dụng 1 mặt
- Size: 06
- Bán kính mũi dao : R0.4</t>
  </si>
  <si>
    <t>Mảnh dao chíp tiện S09 R0.4</t>
  </si>
  <si>
    <t>Mã SCMT09T304 , tiện góc 45 độ</t>
  </si>
  <si>
    <t>Tiện góc 45 độ
- Dùng lắp mảnh chíp SCMT09T304, SCMT120404</t>
  </si>
  <si>
    <t>Mảnh dao chíp tiện rãnh</t>
  </si>
  <si>
    <t>Mã MGGN 200, (chíp cắt 2 ly cong)</t>
  </si>
  <si>
    <t>Dao khắc kim loại CNC</t>
  </si>
  <si>
    <t>Cán 3.175, góc mũi 30 độ, đầu nhọn 0.2, dài 38mm dùng khắc kim loại.</t>
  </si>
  <si>
    <t>SHARP-TOOLS</t>
  </si>
  <si>
    <t>Dao gọt bavia</t>
  </si>
  <si>
    <t>1 cán + 10 lưỡi/bộ</t>
  </si>
  <si>
    <t>Bộ dao cạo ba via Noga NG8150 Phần cán bằng nhựa composite ko có sắt
- Bao gồm: 
  + Cán NG-1: 1pcs
  + Lưỡi S10: 10pcs
- Dùng cho: Thép - Nhôm - Nhựa</t>
  </si>
  <si>
    <t>NOGA</t>
  </si>
  <si>
    <t>ISRAEL</t>
  </si>
  <si>
    <t xml:space="preserve">Dũa dẹt thô </t>
  </si>
  <si>
    <t>Chiều dài 300 mm</t>
  </si>
  <si>
    <t>Dũa dẹt tinh</t>
  </si>
  <si>
    <t>Chiều dài 150 mm</t>
  </si>
  <si>
    <t xml:space="preserve">Dũa tròn </t>
  </si>
  <si>
    <t xml:space="preserve">Dưỡng đo cung tròn </t>
  </si>
  <si>
    <t>Bán kính cung: 7.5-15</t>
  </si>
  <si>
    <t>Model 186-106
Xuất xứ Nhật Bản
Phạm vị đo 7.5 - 15 mm
Độ chính xác ±0.04 mm
32 lá thước 7.5 - 15 mm bước 0.5 mm
Kiểu dưỡng Cung tròn 180⁰</t>
  </si>
  <si>
    <t>Mitutoyo</t>
  </si>
  <si>
    <t>Đinh rút (Rivet)</t>
  </si>
  <si>
    <t>Kích thước: Ø4x10mm</t>
  </si>
  <si>
    <t>Kích thước: 4x10mm
Thiết kế: Phần chui mở</t>
  </si>
  <si>
    <t xml:space="preserve">Giấy nhám tinh </t>
  </si>
  <si>
    <t>P1000</t>
  </si>
  <si>
    <t xml:space="preserve">     Tờ</t>
  </si>
  <si>
    <t>kovax</t>
  </si>
  <si>
    <t xml:space="preserve">Ke vuông </t>
  </si>
  <si>
    <t>Kích thước: 150x200mm</t>
  </si>
  <si>
    <t>STHT46530-8</t>
  </si>
  <si>
    <t>Standley</t>
  </si>
  <si>
    <t>Kéo cắt tôn</t>
  </si>
  <si>
    <t>Chất liệuThép, Tay cầm (Nhựa cao cấp)
Chiều dài máyKéo 10 inch (25cm)</t>
  </si>
  <si>
    <t>Tolsen</t>
  </si>
  <si>
    <t>Kính bảo hộ</t>
  </si>
  <si>
    <t>G650</t>
  </si>
  <si>
    <t>Kìm hàn</t>
  </si>
  <si>
    <t>Hãng sản xuất Tolsen
Model 44935
Chất liệu Sắt trên, Đồng thau dưới Kẹp bằng sợi thủy tinh
Công suất Amp 500A
Điện cực thông qua 3/32 "" - 1/4 "" (2,5mm-6,35mm)
Chiều dài 250mm
Bao gồm 2 phím hex</t>
  </si>
  <si>
    <t xml:space="preserve">Kìm rút Rivet </t>
  </si>
  <si>
    <t>Kích thước 330mm</t>
  </si>
  <si>
    <t>Irwin</t>
  </si>
  <si>
    <t>Khung cưa sắt</t>
  </si>
  <si>
    <t>Kích thước: 300mm</t>
  </si>
  <si>
    <t>Kích thước: 300 mm
Chất liệu: hợp kim thép</t>
  </si>
  <si>
    <t>Lưỡi cưa sắt</t>
  </si>
  <si>
    <t>Kích thước: 12"/300mm
- Chất liệu: Thép hợp kim cứng, không gỉ, sắc bén</t>
  </si>
  <si>
    <t>Lưỡi cưa vòng</t>
  </si>
  <si>
    <t>Kích thước: 3400 x 27x 0,9</t>
  </si>
  <si>
    <t>NACHI</t>
  </si>
  <si>
    <t xml:space="preserve">Kích thước: 2450 x 27 x 0.9 </t>
  </si>
  <si>
    <t>Kích thước: 2362 x 19 x 0.8</t>
  </si>
  <si>
    <t xml:space="preserve">Bàn chải sắt </t>
  </si>
  <si>
    <t xml:space="preserve">Mũi doa </t>
  </si>
  <si>
    <t>- Kích thước: ∅8H7
- Loại thông dụng trên thị trường</t>
  </si>
  <si>
    <t>- Kích thước: ∅10H7
- Loại thông dụng trên thị trường</t>
  </si>
  <si>
    <t>- Kích thước: ∅12H7
- Loại thông dụng trên thị trường</t>
  </si>
  <si>
    <t xml:space="preserve">Mũi khoan </t>
  </si>
  <si>
    <t>Đường kính: Ø3.3 mm</t>
  </si>
  <si>
    <t>Kích thước: 3.3 mm
Vật liệu gia công: Sắt, thép &lt;30HRC, Gang, Đồng,…</t>
  </si>
  <si>
    <t>Đường kính: Ø3.4 mm</t>
  </si>
  <si>
    <t>Kích thước: 3.4 mm</t>
  </si>
  <si>
    <t>Đường kính: Ø3.5mm</t>
  </si>
  <si>
    <t>Kích thước: 3.5 mm</t>
  </si>
  <si>
    <t>Đường kính: Ø4 mm</t>
  </si>
  <si>
    <t>Đường kính: Ø4.1 mm</t>
  </si>
  <si>
    <t>Kích thước: 4.1mm</t>
  </si>
  <si>
    <t>Đường kính: Ø4.2 mm</t>
  </si>
  <si>
    <t>Kích thước: 4.5 mm</t>
  </si>
  <si>
    <t>Đường kính: Ø4.5 mm</t>
  </si>
  <si>
    <t>Kích thước: 5.5 mm</t>
  </si>
  <si>
    <t>Đường kính: Ø5 mm</t>
  </si>
  <si>
    <t>Đường kính: Ø5.5mm</t>
  </si>
  <si>
    <t>Đường kính: Ø 6 mm</t>
  </si>
  <si>
    <t>Đường kính: ø 6.4 mm</t>
  </si>
  <si>
    <t>Kích thước: 6.4 mm</t>
  </si>
  <si>
    <t>Đường kính: Ø6.5mm</t>
  </si>
  <si>
    <t>Kích thước: 6.5 mm</t>
  </si>
  <si>
    <t>Đường kính: Ø6.8 mm</t>
  </si>
  <si>
    <t>Kích thước: 6.8 mm</t>
  </si>
  <si>
    <t>Đường kính: Ø7 mm</t>
  </si>
  <si>
    <t>Kích thước: 7 mm</t>
  </si>
  <si>
    <t>Đường kính: Ø7.8 mm</t>
  </si>
  <si>
    <t>Kích thước: 7.8 mm</t>
  </si>
  <si>
    <t>Đường kính: Ø8 mm</t>
  </si>
  <si>
    <t>Đường kính: Ø8.5 mm</t>
  </si>
  <si>
    <t>Kích thước: 8.5 mm</t>
  </si>
  <si>
    <t>Đường kính: Ø9 mm</t>
  </si>
  <si>
    <t>Kích thước: 9 mm</t>
  </si>
  <si>
    <t>Đường kính: Ø9.8 mm</t>
  </si>
  <si>
    <t>Kích thước: 9.8 mm</t>
  </si>
  <si>
    <t>Đường kính: Ø10 mm</t>
  </si>
  <si>
    <t>Đường kính: Ø10.5 mm</t>
  </si>
  <si>
    <t>Kích thước: 10.5 mm</t>
  </si>
  <si>
    <t>Đường kính: Ø11 mm</t>
  </si>
  <si>
    <t>Kích thước: 11 mm</t>
  </si>
  <si>
    <t>Đường kính: Ø11.8 mm</t>
  </si>
  <si>
    <t>Kích thước: 11.8 mm</t>
  </si>
  <si>
    <t>Đường kính: Ø11.5 mm</t>
  </si>
  <si>
    <t>Kích thước: 11.5 mm</t>
  </si>
  <si>
    <t>Đường kính: Ø12 mm</t>
  </si>
  <si>
    <t>Đường kính: Ø13mm</t>
  </si>
  <si>
    <t>Kích thước: 13 mm</t>
  </si>
  <si>
    <t>Đường kính: Ø14 mm</t>
  </si>
  <si>
    <t>Đường kính: Ø15 mm</t>
  </si>
  <si>
    <t>Kích thước: 15 mm</t>
  </si>
  <si>
    <t>Đường kính: Ø16 mm</t>
  </si>
  <si>
    <t>Đường kính: Ø18 mm</t>
  </si>
  <si>
    <t>Đường kính: Ø20 mm</t>
  </si>
  <si>
    <t>Đường kính: Ø25 mm</t>
  </si>
  <si>
    <t>Kích thước: 25 mm</t>
  </si>
  <si>
    <t>Mũi khoan tâm NC</t>
  </si>
  <si>
    <t>Đường kính: Ø12</t>
  </si>
  <si>
    <t>HANDSTON</t>
  </si>
  <si>
    <t xml:space="preserve">Đường kính: Ø10 </t>
  </si>
  <si>
    <t>Mũi khoan tâm</t>
  </si>
  <si>
    <t>- Kích thước: A2.5
- Loại có phủ</t>
  </si>
  <si>
    <t>Kích thước: 2.5 X 60ﾟX 7.7</t>
  </si>
  <si>
    <t>YAMAWA</t>
  </si>
  <si>
    <t>Mũi khoét bậc</t>
  </si>
  <si>
    <t>M5, loại thông dụng trên thị trường</t>
  </si>
  <si>
    <t>MKHB</t>
  </si>
  <si>
    <t>Nhựa PE phi 25</t>
  </si>
  <si>
    <t>Nhựa PE, màu trắng, Ø25x1.000</t>
  </si>
  <si>
    <t>Kích thước chiều dài: 1000mm
Màu sắc: Ghi, Trắng đục
Chịu hóa chất: Axit, Hóa chất Xeton, Khí gas, Kiềm
Chịu nhiệt: 130 độ C
Đặc tính: Chịu mài mòn, Nhựa cứng, Thực phẩm</t>
  </si>
  <si>
    <t>Nhựa PE phi 40</t>
  </si>
  <si>
    <t>Nhựa PE, màu trắng, Ø40x1.000</t>
  </si>
  <si>
    <t xml:space="preserve">Nhựa tấm PE </t>
  </si>
  <si>
    <t>Tấm</t>
  </si>
  <si>
    <t>Nhôm tấm</t>
  </si>
  <si>
    <t>Kích thước: 30x75x105</t>
  </si>
  <si>
    <t>Kích thước: 20x90x120</t>
  </si>
  <si>
    <t>Kích thước: 30x102x102</t>
  </si>
  <si>
    <t>Kích thước: 110x80x16</t>
  </si>
  <si>
    <t>Kích thước: 40x40x40</t>
  </si>
  <si>
    <t>Kích thước: 40x100x100</t>
  </si>
  <si>
    <t>Kích thước: 25x55x90</t>
  </si>
  <si>
    <t>Kích thước: 100x120x25</t>
  </si>
  <si>
    <t xml:space="preserve">Kích thước: 250x250x5 </t>
  </si>
  <si>
    <t xml:space="preserve">Kích thước: 400 x 300 x 2 </t>
  </si>
  <si>
    <t>Kích thước: Ø80x85</t>
  </si>
  <si>
    <t>Kích thước: Ø130x145</t>
  </si>
  <si>
    <t>Kích thước: Ø150x102</t>
  </si>
  <si>
    <t xml:space="preserve">Thanh ren </t>
  </si>
  <si>
    <t>Kích thước: M12 x 500</t>
  </si>
  <si>
    <t>Kích thước: M10 x 500</t>
  </si>
  <si>
    <t>Kích thước: Ø21x2.2 mm</t>
  </si>
  <si>
    <t>Kích thước: Ø27x2.8 mm</t>
  </si>
  <si>
    <t>Kích thước: Ø34x2.5mm</t>
  </si>
  <si>
    <t>Kích thước: Ø40 x5 mm</t>
  </si>
  <si>
    <t>Kích thước:Ø50x5 mm</t>
  </si>
  <si>
    <t>Kích thước:Ø60x3.8 mm</t>
  </si>
  <si>
    <t>Kích thước: Ø76x5 mm</t>
  </si>
  <si>
    <t>Kích thước:  Ø 114 x 6.4</t>
  </si>
  <si>
    <t>Thép ống mạ Ø27</t>
  </si>
  <si>
    <t>Ø27 x 1.8 mm</t>
  </si>
  <si>
    <t>Thép ống mạ Φ 27</t>
  </si>
  <si>
    <t>Φ27x1,2</t>
  </si>
  <si>
    <t>Thép hộp mạ vuông 30</t>
  </si>
  <si>
    <t>30x30x1,2</t>
  </si>
  <si>
    <t>Kích thước: 20x75 x97</t>
  </si>
  <si>
    <t>Kích thước: 10x100x120</t>
  </si>
  <si>
    <t>Kích thước: 100x35x10</t>
  </si>
  <si>
    <t>Kích thước: 35x20x16</t>
  </si>
  <si>
    <t>Kích thước: 15x112x850</t>
  </si>
  <si>
    <t>Kích thước: 25x95x500</t>
  </si>
  <si>
    <t>Kích thước: 132x92x16</t>
  </si>
  <si>
    <t>Kích thước: 182x122x16</t>
  </si>
  <si>
    <t>Kích thước: 47x47x72</t>
  </si>
  <si>
    <t>Kích thước: 92x52x6</t>
  </si>
  <si>
    <t xml:space="preserve"> Kích thước: 200 x 50 x 5 </t>
  </si>
  <si>
    <t>Kích thước: 70x100x30</t>
  </si>
  <si>
    <t xml:space="preserve">Tôn mạ kẽm </t>
  </si>
  <si>
    <t>Chiều dày: t = 0.5 mm</t>
  </si>
  <si>
    <t>HÒA PHÁT</t>
  </si>
  <si>
    <t>Chiều dày: t = 1mm</t>
  </si>
  <si>
    <t>Chiều dày: t = 1,5 mm</t>
  </si>
  <si>
    <t>Chiều dày: t = 2 mm</t>
  </si>
  <si>
    <t>Chiều dày: t = 3 mm</t>
  </si>
  <si>
    <t>Chiều dày: t = 4 mm</t>
  </si>
  <si>
    <t>Chiều dày: t = 5 mm</t>
  </si>
  <si>
    <t>Chiều dày: t = 6 mm</t>
  </si>
  <si>
    <t>Chiều dày: t = 8 mm</t>
  </si>
  <si>
    <t>Chiều dày: t = 10 mm</t>
  </si>
  <si>
    <t>Chiều dày:t = 12 mm</t>
  </si>
  <si>
    <t>Chiều dày: t = 20 mm</t>
  </si>
  <si>
    <t>Thép định hình</t>
  </si>
  <si>
    <t>Kích thước: V25x25x3</t>
  </si>
  <si>
    <t>Kích thước: V40x40x4</t>
  </si>
  <si>
    <t>Kích thước:     42x42x500</t>
  </si>
  <si>
    <t>Đường kính:  Ø10 mm</t>
  </si>
  <si>
    <t>Đường kính:  Ø40 mm</t>
  </si>
  <si>
    <t>Đường kính:  Ø80 mm</t>
  </si>
  <si>
    <t>Đường kính: Ø85 m</t>
  </si>
  <si>
    <t>Đường kính: Ø140 m</t>
  </si>
  <si>
    <t>Kích thước: Ø4x500</t>
  </si>
  <si>
    <t>Kích thước: Ø8x500</t>
  </si>
  <si>
    <t>Kích thước: Ø12x500</t>
  </si>
  <si>
    <t>Kích thước: Ø18x500</t>
  </si>
  <si>
    <t>Kích thước: Ø25x500</t>
  </si>
  <si>
    <t>Kích thước: Ø32x262</t>
  </si>
  <si>
    <t>Kích thước: Ø38x252</t>
  </si>
  <si>
    <t>Kích thước: Ø42x216</t>
  </si>
  <si>
    <t>Kích thước: Ø42x246</t>
  </si>
  <si>
    <t>Kích thước: Ø42x357</t>
  </si>
  <si>
    <t>Kích thước: Ø60x140</t>
  </si>
  <si>
    <t>Kích thước: Ø90x105</t>
  </si>
  <si>
    <t>Kích thước: Ø85x123</t>
  </si>
  <si>
    <t>Kích thước: Ø80x100</t>
  </si>
  <si>
    <t>Kích thước: Ø60x500</t>
  </si>
  <si>
    <t>Kích thước: Ø60x105</t>
  </si>
  <si>
    <t>Kích thước: Ø60x70</t>
  </si>
  <si>
    <t>Kích thước: Ø60x55</t>
  </si>
  <si>
    <t>Kích thước: Ø60x32</t>
  </si>
  <si>
    <t>Kích thước: Ø60x77</t>
  </si>
  <si>
    <t>Chấu mềm</t>
  </si>
  <si>
    <t>Đường kính 8inch</t>
  </si>
  <si>
    <t>Brand: PTTOOLS 
Soft Jaw 
Set 3pcs chấu cặp mềm 8 inches, bước ren P1.5
Vật liệu: S50C cao cấp 
Made in Vietnam - Export to Japan Market
Kích thước: 95 x 38 x 35 mm (Dài x Cao x Rộng)</t>
  </si>
  <si>
    <t>PHU THAI</t>
  </si>
  <si>
    <t>Bộ lục giác</t>
  </si>
  <si>
    <t>Total THT106292</t>
  </si>
  <si>
    <t>Thương hiệu: Total
Model THT106292
Kích thước: 1.5-10mm
Trọng lượng: 0.5kg
Xuất xứ: Trung Quốc</t>
  </si>
  <si>
    <t>TOTAL</t>
  </si>
  <si>
    <t>CHINA</t>
  </si>
  <si>
    <t>Bộ cần siết lực 1/2" và 3/4"</t>
  </si>
  <si>
    <t>1/2" và 3/4"</t>
  </si>
  <si>
    <t>Cần xiết chữ L 1/2"x12" Toptul AFAN1612</t>
  </si>
  <si>
    <t>TOPTUL</t>
  </si>
  <si>
    <t>Cờ lê cân lực: Dải đo lực 17-85 Nm, Hiển thị số</t>
  </si>
  <si>
    <t xml:space="preserve"> Dải đo lực 17-85 Nm, Hiển thị số</t>
  </si>
  <si>
    <t>KINGTOOL</t>
  </si>
  <si>
    <t xml:space="preserve">Bộ cờ lê </t>
  </si>
  <si>
    <t>Vòng miệng: 8-32mm</t>
  </si>
  <si>
    <t xml:space="preserve">Bộ cờ lê vòng miệng 14 chi tiết Stanley STMT80944 8-32mm
</t>
  </si>
  <si>
    <t>Bộ cờ lê 6-24</t>
  </si>
  <si>
    <t>Loại thông dụng trên thị trường, kích thước vòng miệng: 6 đến 24 mm</t>
  </si>
  <si>
    <t>Size: 6-24mm (6mm, 8mm, 10mm, 11mm12mm, 13mm, 14mm, 15mm, 17mm, 19mm, 22mm, 24mm)
Trọng lượng: 1.2kg</t>
  </si>
  <si>
    <t>Bộ khẩu SP424</t>
  </si>
  <si>
    <t>TG-TOP-KW-S424D-1</t>
  </si>
  <si>
    <t>8 đầu típ 1/2": 10, 11, 12, 13, 14, 15, 16, 17, 18, 19, 20, 21, 22, 23, 24, 27, 30, 32mm
- 1 đầu mở bugi
- 1 cần lắc léo 1/2"
- 1 cần chữ T 1/2"
- 1 cần siết tự động
- 2 đầu nối 1/2" dài 5" và 10"</t>
  </si>
  <si>
    <t>Bộ tuýp 1/4" 45 chi tiết Total THT141451, 4-14mm</t>
  </si>
  <si>
    <t>Total THT141451, 4-14mm</t>
  </si>
  <si>
    <t>Kích thước: 244 x 118 x 37mm
Trọng lượng: 3kg</t>
  </si>
  <si>
    <t>Bộ tay vặn đa năng toptul GADW4501</t>
  </si>
  <si>
    <t>Bộ Tuýp 1/4" INCH Với 46 dụng cụ, Mở ốc từ 4-14mm; Mở vít 2 cạnh, 4 cạnh, 6 cạnh các loại ; Cờ lê đảo chiều, tay cầm tô vít, tay nối dài, dây nối dài giúp làm việc ở các góc hẹp</t>
  </si>
  <si>
    <t>Mỏ lết 300mm</t>
  </si>
  <si>
    <t>Stanley STMT87434 -8      12"/300</t>
  </si>
  <si>
    <t>Kích cỡ: dài 12 inch/300mm
Mô-men xoắn thêm 25%
Chất liệu: thép hợp kim cứng
Chống gỉ sét, khó gãy, cong, có độ bền cực đại</t>
  </si>
  <si>
    <t>Kìm bấm cos</t>
  </si>
  <si>
    <t>Tai Cheng TAC 1.25-8mm2 model CT-8 CT-10</t>
  </si>
  <si>
    <t>Model: CT-8 (CT-10)
JIS: 1.25, 2.0, 5.5, 8mm2
DIN: 1.5, 2.5, 6, 10mm2
Chiều dài: 260mm
Trọng lượng: 470g</t>
  </si>
  <si>
    <t>TAICHENG</t>
  </si>
  <si>
    <t>Kìm bấm đầu cốt lục giác HSC8 6-6A tự điều chỉnh</t>
  </si>
  <si>
    <t>MỊNIN HSC8 6-6A (0.25-6mm) lục giác</t>
  </si>
  <si>
    <t>Model: HSC8 6-6A</t>
  </si>
  <si>
    <t>VIVIMAX</t>
  </si>
  <si>
    <t>Kìm bấm cos vuông HSC8 6-4B</t>
  </si>
  <si>
    <t>Total THCPG2510 (Mã TLA-510-003)</t>
  </si>
  <si>
    <t>Phạm vi bấm: 0,25-10mm²
- Đối với dây trần hình ống và dây cách điện AWG: 23-7
- Chiều dài: 6  inch
Thiết diện dây điện 0.25-10 mm² hay 23-10 AWG theo tiêu chuẩn Mỹ</t>
  </si>
  <si>
    <t xml:space="preserve">Kìm cắt cách điện </t>
  </si>
  <si>
    <t>IRWIN 1000V VDE V4011-06</t>
  </si>
  <si>
    <t>Kìm được gia công chính xác, tuối thọ dài.
Tiêu chuẩn: IEC-60900, DIN/ISO-5749
Cách điện 1000V
Kích thước: 150mm/6"</t>
  </si>
  <si>
    <t>VATA</t>
  </si>
  <si>
    <t xml:space="preserve">Kìm điện cách điện </t>
  </si>
  <si>
    <t>IRWIN 1000V IRWIN 10505872</t>
  </si>
  <si>
    <t>Quy cách: 6" (150mm)
Trọng lượng: 0.294kg</t>
  </si>
  <si>
    <t xml:space="preserve">Kìm tuốt dây diện </t>
  </si>
  <si>
    <t>Total THT15246</t>
  </si>
  <si>
    <t xml:space="preserve">Tuốt dây: 10AWG ~ 24AWG (0,2 ~ 6mm²) 
- Chức năng cắt: dây đồng và nhôm
- Chức năng uốn (bấm cos): uốn các thiết bị đầu cuối cách điện 0,5-6mm² (10-22 AWG);
- Uốn các thiết bị đầu cuối không cách điện: 0,5-6mm² (4-22 AWG);
- Uốn các thiết bị đầu cuối đánh lửa: 7-8mm² </t>
  </si>
  <si>
    <t>Kìm mỏ quạ 250mm</t>
  </si>
  <si>
    <t>250MM TOLSEN 10014</t>
  </si>
  <si>
    <t>Kích thước: 250 mm</t>
  </si>
  <si>
    <t>Bộ kìm bấm chết</t>
  </si>
  <si>
    <t xml:space="preserve"> 4 cây/bộ (5; 6.5; 7; 10) in</t>
  </si>
  <si>
    <t xml:space="preserve">bộ </t>
  </si>
  <si>
    <t xml:space="preserve">Bộ 7 kìm hiệu Total: </t>
  </si>
  <si>
    <t>mỏ quạ 10 in, kềm răng 9.5 in, kìm mủi nhọn 8 in, kềm cắt  8in, kềm bấm chết hàm 10in, kềm bấm chết mũi dài 9 in, kềm mũi trượt 8 in</t>
  </si>
  <si>
    <t>Tuốc nơ vít 10 cây (loại xoay cộng lực và đóng được) gồm bake và dẹt</t>
  </si>
  <si>
    <t> Size mũi vít: PH 0, PH 1, PH 2, PH 3 và PH 4.Size mũi dẹt: 0.6×3.5, 0.8×4.0, 1.2×6.5, 1.2×8.0, 1.6×8.0mm</t>
  </si>
  <si>
    <t>Bộ tuốc nơ vít dẹp và bake 10 chi tiết Total THT250610</t>
  </si>
  <si>
    <t>Tuốt nơ vít dẹp Sata 63402 (3x75mm)</t>
  </si>
  <si>
    <t>Sata 63402 (3x75mm)</t>
  </si>
  <si>
    <t>Kích thước: 3x75mm</t>
  </si>
  <si>
    <t>SATA</t>
  </si>
  <si>
    <t>Tua vít ba ke 6x100mm</t>
  </si>
  <si>
    <t xml:space="preserve"> Goodman 6x100mm</t>
  </si>
  <si>
    <t>Chất liệu: Cán nhựa, thân kim loại
Loại đầu vít: Bake (Philips), có nam châm
kích thước mũi vít: 6mm
Chiều dài thân vít: 100mm
Trọng lượng: 150g</t>
  </si>
  <si>
    <t>GOODMAN</t>
  </si>
  <si>
    <t xml:space="preserve">Tuốt nơ vít </t>
  </si>
  <si>
    <t>Loại đầu dẹt 6x150</t>
  </si>
  <si>
    <t>KINGTONY</t>
  </si>
  <si>
    <t>Loại đầu 4 cạnh 6x150</t>
  </si>
  <si>
    <t xml:space="preserve">Bộ Tua vit 4 cạnh 2 đầu nam châm </t>
  </si>
  <si>
    <t>Yato 8 chi tiết YT-2698S</t>
  </si>
  <si>
    <t>Búa cao su</t>
  </si>
  <si>
    <t>Kích thước: dài 35cm.
Trọng lượng: 450g.</t>
  </si>
  <si>
    <t>Búa lùn SP012</t>
  </si>
  <si>
    <t>SP012 150mm 250g</t>
  </si>
  <si>
    <t>Trọng lượng : 0.25kg
- Tổng chiều dài: 160mm
- Đường kính mặt : 26mm
- Độ dài phần đầu : 105mm
+ Khối lượng 250g</t>
  </si>
  <si>
    <t>DELI</t>
  </si>
  <si>
    <t>Máy cắt kim loại Bosch GCO 220 (0601B373K0)</t>
  </si>
  <si>
    <t>Bosch GCO 220 (0601B373K0)</t>
  </si>
  <si>
    <t>Công suất đầu vào định mức 2.200 W
Tốc độ không tải 3,800v/p
Trọng lượng không có cáp 15 kg
Kích thướcmáy 400/520mm
Đường kính đĩa cắt 355 mm
Độ dày đĩa cắt 3mm</t>
  </si>
  <si>
    <t>Bosch</t>
  </si>
  <si>
    <t>Máy khoan điện (sắt+bê tông)</t>
  </si>
  <si>
    <t>BOSCH GBM 13RE</t>
  </si>
  <si>
    <t>Máy khoan mini cầm tay</t>
  </si>
  <si>
    <t>Mã: HK1717101104</t>
  </si>
  <si>
    <t xml:space="preserve"> Model: P500-1
- Tốc độ vòng quay: 12000r/min
- Điện áp: AC220V/DC12V
- Công suất định mức: 12V1A
- Kích thước 40x160mm
- Trọng lượng : 130g</t>
  </si>
  <si>
    <t>Máy khoan vặn vít dùng pin Bosch GSB 180-LI (06019F83K1)</t>
  </si>
  <si>
    <t>Thương hiệu: Bosch GSB 180-LI, chạy pin</t>
  </si>
  <si>
    <t>Pin Li-Ion: 18V, 1.5 A
Sản xuất tại Malaysia
Khoan 3 chức năng: vặn vít, gỗ (sắt), tường.
 Đầu cặp: 13 mm
Đường kính khoan gỗ/sắt/tường: 35/10/8 mm
Đường kính bắt vít: 10 mm
Tốc độ không tải tối đa (cao/thấp): 450/1700 v/p
Trọng lượng tính cả pin: 1.7 kg</t>
  </si>
  <si>
    <t>Malaysia</t>
  </si>
  <si>
    <t>Máy mài cầm tay Makita Ø150</t>
  </si>
  <si>
    <t>150mm Makita GA6010</t>
  </si>
  <si>
    <t>Chiều dài dây điện: 2.5m
Khả năng mài tối đa (đường kính) Đá mài: 150mm (6”) - Đá cắt: 150mm (6”) - Chén cước: 90mm
Trọng lượng: 2.7-3.1kg</t>
  </si>
  <si>
    <t>Makita</t>
  </si>
  <si>
    <t>Máy mài cầm tay Makita Ø100</t>
  </si>
  <si>
    <t>100mm Makita 9553B</t>
  </si>
  <si>
    <t>Tốc độ không tải: 11,000
Hãng sản xuất Makita
Trọng lượng tịnh: 1.7kg (3.7lbs)
Kích thước: 258 x 118 x 97mm (10-1/8" x 4-5/8" x 3-13/16")
Công suất: 710W
Dây dẫn điện: 2.5m (8.2ft)</t>
  </si>
  <si>
    <t>Máy mài cầm tay</t>
  </si>
  <si>
    <t>- Nguồn khí nén
- Dùng để làm cùn sản phẩm</t>
  </si>
  <si>
    <t>Thương hiệu Tolsen
Dung lượng 1/4 "", 6 mm
Áp suất không khí hoạt động 6.2ebar (90PSI)
Tiêu thụ không khí 127L / phút
Cửa hút gió 1/4 "
Ống khí: 3/8 "
Tốc độ miễn phí 22000 vòng / phút
Trọng lượng tịnh 0,6KGS</t>
  </si>
  <si>
    <t>Chổi than máy mài cầm tay 125</t>
  </si>
  <si>
    <t>Mã hàng: 1619P11715
Sử dụng cho các dòng máy: GWS 6-100 S, GWS 750-100, GWS 900-100, GWS 900-100S, GWS 900-100S, GWS 9-125, GWS 9-100P</t>
  </si>
  <si>
    <t xml:space="preserve">Mỏ cắt Oxy-Gas </t>
  </si>
  <si>
    <t>Thước lá 300mm</t>
  </si>
  <si>
    <t>Chiều dài 300mm, loại thông dụng trên thị trường</t>
  </si>
  <si>
    <t>30cm Thước lá Shinwa 13013</t>
  </si>
  <si>
    <t>Shinwa</t>
  </si>
  <si>
    <t xml:space="preserve">Thước kéo </t>
  </si>
  <si>
    <t>dài 5m</t>
  </si>
  <si>
    <t>Hãng sản xuất Stanley
Vành đai 3 clip móc rivet, làm giảm nguy cơ vỡ - 40%
Cấp chính xác Class II
Chiều dài 5m
Lưỡi chiều rộng 19mm</t>
  </si>
  <si>
    <t>Thước eke</t>
  </si>
  <si>
    <t>INSIZE 2275-300 (300x170mm)</t>
  </si>
  <si>
    <t>Kích thước (DxR): 300x170mm
Độ vuông góc
Bên trong (α): 0.5mm
 Bên ngoài (β): 0.5mm
Độ phân giải: 1mm
Chất liệu: thước đo thép không gỉ, đế nhôm</t>
  </si>
  <si>
    <t>Insize</t>
  </si>
  <si>
    <t>Mũi khoét Φ20, Φ22, Φ25 mm (5 cái/loại)</t>
  </si>
  <si>
    <t>TOLSEN 75920, 75922, 75925</t>
  </si>
  <si>
    <t>Mũi khoan bậc (Mã SP109)</t>
  </si>
  <si>
    <t>6-35mm TOTAL TAC8263501</t>
  </si>
  <si>
    <t>Đồng hồ VOM điện tử</t>
  </si>
  <si>
    <t>Đồng hồ vạn năng Uni-T UT136C+</t>
  </si>
  <si>
    <t>Điện áp DC: 1000V ±(0.7%+3)
Điện áp AC: 1000V ±(1%+3)
Dòng điện DC: 10A ±(1%+3)
Dòng điện AC: 10A ±(1.2%+5)
Điện trở (Ω): 40MΩ ±(0.8%+2)
Điện dung (F): 40mF ±(3%+5)
Tần số (Hz): 400Hz đến 40mHz ±(0.1%+4)
Nhiệt độ: -40 đến 1000℃ ±(1%+4)</t>
  </si>
  <si>
    <t>UNI-T</t>
  </si>
  <si>
    <t>Đồng hồ VOM điện tử</t>
  </si>
  <si>
    <t>Sanwa PC510A</t>
  </si>
  <si>
    <t>DCV: 50m/500m/5/50/500/1000V
ACV: 50m/500m/5/50/500/1000V
 DCA: 500µ/5000µ/50m/500m/5/10A
 ACA: 500µ/5000µ/50m/500m/5/10A
Điện trở: 50/500/5k/50k/500k/5M/50MΩ
 Điện dung: 50n/500n/5µ/50µ/500µ/9999µF
 Nhiệt độ: -500C~10000C
 Tần số: 10Hz~125kHz
 Cầu chì: Ø6.3x32mm (500V/12.5A), Ø6.3x32mm (500V/0.63A)
 Pin: 6LF22x1
 Kích thước: 179x87x55mm
 Cân nặng: 460g</t>
  </si>
  <si>
    <t>SANWA</t>
  </si>
  <si>
    <t>Đồng hồ Ampe kìm 3280-10F</t>
  </si>
  <si>
    <t>HIOKI 3280-10F (1000A)</t>
  </si>
  <si>
    <t>ACA: 42.00 A / 420,0 A / 1000 A (± 1,5% RDG. ± 5 .)
AC V: 4.200 V đến 600 V, 4 dãy (± 1,8% rdg. dgt ± 7). Từ 50-60 Hz:
DC V 420,0 mV đến 600 V, 5 dãy (± 1,0% rdg. dgt ± 3).Từ 45 Hz đến 500 Hz
Đường kính kìm đo φ33 mm (1.30 "),
Điện trở: 420,0 Ω đến 42,00 MΩ, 6 dãy (± 2,0% rdg. dgt ± 4).</t>
  </si>
  <si>
    <t>HIOKI</t>
  </si>
  <si>
    <t>Đồng hồ đo dòng điện MA202</t>
  </si>
  <si>
    <t>Selec MA202 72x72mm</t>
  </si>
  <si>
    <t>Đồng hồ đo Dòng điện AC gián tiếp qua CT
– Hiển thị 4 số, dạng LED 7 đoạn 363,000
– Cài đặt hệ số CT: 5 – 4000A
– Dải hiển thị: 0 – 4960A
– Mạng kết nối: 1 pha 2 dây 393,000
– Nguồn cấp: AC: 240V AC ±20%, (50 / 60Hz)</t>
  </si>
  <si>
    <t>SELEC</t>
  </si>
  <si>
    <t>ẤN ĐỘ</t>
  </si>
  <si>
    <t>Đồng hồ đo dòng điện MA205</t>
  </si>
  <si>
    <t>Selec MV205 72x72mm</t>
  </si>
  <si>
    <t>Đồng hồ đo Điện áp
– Hiển thị 3 số, dạng LED 7 đoạn
– Dải hiển thị: 0 – 516V
– Mạng kết nối: 1 pha 2 dây
– Nguồn cấp: AC: 240V AC ±20%, (50 / 60Hz)</t>
  </si>
  <si>
    <t>Đồng hồ VOM kim</t>
  </si>
  <si>
    <t>SANWA YX360TRF</t>
  </si>
  <si>
    <t>Kích thước:160 x 129 x 41 mm
DC V:0.1/0.25/2.5/10/50/250/1000 V
AC V:10/50/250/750
DC A:50u/2.5m/25m/0.25A
Trở kháng:2k/20k/200k/2MΩ/200MΩ</t>
  </si>
  <si>
    <t xml:space="preserve">Bộ đồng hồ so </t>
  </si>
  <si>
    <t>Cấp chính xác 0.01mm</t>
  </si>
  <si>
    <t>1044A Nhà sản xuất Mitutoyo
Xuất xứ Nhật Bản
Phạm vị đo: 5mm
Độ chia: 0,01mm
Độ chính xác: ± 13µm
Đường kính mặt đồng hồ: 41mm</t>
  </si>
  <si>
    <t>Bộ thước panme đo ngoài 150mm-230mm</t>
  </si>
  <si>
    <t>150mm-230mm</t>
  </si>
  <si>
    <t>Panme đo ngoài Mitutoyo 103-145-10 (200-225mm)</t>
  </si>
  <si>
    <t xml:space="preserve">Thước cặp cơ </t>
  </si>
  <si>
    <t>- Form A
- Chiều dài: 150 mm, Độ chính xác: 0.05</t>
  </si>
  <si>
    <t>Loại thước kẹp: Thước kẹp cơ khí
Khoảng đo: 0-150mm
Độ chia: 0.05mm
Độ chính xác: ± 0.05mm</t>
  </si>
  <si>
    <t>- Form C
- Chiều dài: 150 mm, Độ chính xác: 0.02</t>
  </si>
  <si>
    <t>Dải đo: 0-150mm/ 0-6″
Độ phân giải: 0.02mm /0.001″
Độ chính xác: ±0.03mm
Hệ đơn vị: mét /inch</t>
  </si>
  <si>
    <t>Thước cặp điện tử</t>
  </si>
  <si>
    <t>- Chiều dài: 150 mm, Độ chính xác: 0.01</t>
  </si>
  <si>
    <t>Loại thước cặp: Thước kẹp điện tử
Phạm vi đo: 0-150mm
Độ chia: 0.01mm
Độ chính xác: ±0.02mm</t>
  </si>
  <si>
    <t>Thước cuộn cơ</t>
  </si>
  <si>
    <t>Chiều dài: 5 m</t>
  </si>
  <si>
    <t>Mũi đột tâm</t>
  </si>
  <si>
    <t>Mũi vạch dấu</t>
  </si>
  <si>
    <t xml:space="preserve">Nivo thanh </t>
  </si>
  <si>
    <t>- Kích thước: 500mm</t>
  </si>
  <si>
    <t>Bép ra dây 1.0mm</t>
  </si>
  <si>
    <t>Quy cách: M6 x 1.0mm x 45
Chất liệu: Đồng, cạnh lục giác</t>
  </si>
  <si>
    <t>Bép ra dây 1.2mm</t>
  </si>
  <si>
    <t>Chụp khí đầu mỏ hàn MAG</t>
  </si>
  <si>
    <t>Chuôi mỏ hàn TIG</t>
  </si>
  <si>
    <t>Kẹp kim hàn TIG</t>
  </si>
  <si>
    <t xml:space="preserve">Kim hàn TIG sắt </t>
  </si>
  <si>
    <t>Ø 2.4x175 đuôi màu đỏ</t>
  </si>
  <si>
    <t>WT-20 2.4x175mm</t>
  </si>
  <si>
    <t>JASIC</t>
  </si>
  <si>
    <t>Chụp sứ</t>
  </si>
  <si>
    <t>Chụp sứ tig số 5
Hãng sản xuất: OEM</t>
  </si>
  <si>
    <t xml:space="preserve">Đá mài dao </t>
  </si>
  <si>
    <t>Kích thước: 200x25x32</t>
  </si>
  <si>
    <t>Đường Kính Ngoài:
200 mm
Bề Dày:
25 mm
Sử Dụng Cho:
Thép, Gang, Sắt, Inox...
Đường Kính Trục:
32 mm</t>
  </si>
  <si>
    <t>Viên</t>
  </si>
  <si>
    <t>HẢI DƯƠNG</t>
  </si>
  <si>
    <t>Đá cắt Ø 100 x 2</t>
  </si>
  <si>
    <t>Thương hiệu: Hải Dương
Xuất xứ thương hiệu: Việt Nam
Sản xuất: Việt Nam</t>
  </si>
  <si>
    <t>Đá cắt Ø 125 x 2</t>
  </si>
  <si>
    <t>Đá cắt Ø 150</t>
  </si>
  <si>
    <t>Đá cắt Ø 150x2</t>
  </si>
  <si>
    <t>Đá mài Ø 100x7</t>
  </si>
  <si>
    <t>Đá mài Ø 100 x7</t>
  </si>
  <si>
    <t>Đá mài Ø 125 x 7</t>
  </si>
  <si>
    <t>Đá mài Ø 125 x7</t>
  </si>
  <si>
    <t>Đá mài Ø 150</t>
  </si>
  <si>
    <t>Đá mài Ø 150x7</t>
  </si>
  <si>
    <t>Đá cắt Ø350</t>
  </si>
  <si>
    <t>Đá cắt 350x3</t>
  </si>
  <si>
    <t xml:space="preserve">Que hàn </t>
  </si>
  <si>
    <t>Que hàn Kim Tín KT-42; Ø2.5mm</t>
  </si>
  <si>
    <t>Tiêu chuẩn Việt Nam TCVN: 3223-2000-E432R.
Quy chuẩn Việt Nam: QCVN 21:2015/BGTVT-MW2
Tiêu chuẩn Mỹ: ASME/AWS E 6013
Tiêu chuẩn Nhật:  JIS  D4313
Đăng kiểm NK: KMW2</t>
  </si>
  <si>
    <t>KIM TÍN</t>
  </si>
  <si>
    <t>Que hàn</t>
  </si>
  <si>
    <t>Que hàn Kim Tín KT-42; Ø3.2mm</t>
  </si>
  <si>
    <t>Que hàn TIG</t>
  </si>
  <si>
    <t>Que hàn Tig thép đen T50, Ø2.4mm, Kiswel</t>
  </si>
  <si>
    <t>KISWEL</t>
  </si>
  <si>
    <t xml:space="preserve">Dây hàn MAG </t>
  </si>
  <si>
    <t>Dây hàn MIG/MAG GM-70S, Ø1.0</t>
  </si>
  <si>
    <t>Đường kính (mm) Ø 1.0
Dòng điện hàn (A) 100~140
Điện thế hàn (V) 22~24
Lượng khí lít/phút 10 – 11
Trọng lượng tịnh hộp (Kg) 15 Kg</t>
  </si>
  <si>
    <t>Dây hàn MAG</t>
  </si>
  <si>
    <t>Dây hàn MIG/MAG GM-70S, Ø1.2</t>
  </si>
  <si>
    <t>Đường kính (mm) Ø1.2
Dòng điện hàn (A) 110~200
Điện thế hàn (V) 23~25
Lượng khí lít/phút 12 – 13
Trọng lượng tịnh thùng (Kg) 8 Kg</t>
  </si>
  <si>
    <t>Dây hàn FCAW</t>
  </si>
  <si>
    <t>Dây hàn lõi thuốc Kiswel E71T-1C, Ø1.2</t>
  </si>
  <si>
    <t>Đường kính dây Ø1.2
Trọng lượng 15kg/ Thùng</t>
  </si>
  <si>
    <t>Khí Argon</t>
  </si>
  <si>
    <t>Thể tích 40 lít</t>
  </si>
  <si>
    <t>Chai</t>
  </si>
  <si>
    <t>Khí CO2</t>
  </si>
  <si>
    <t>Khí ôxy</t>
  </si>
  <si>
    <t>Gas công nghiệp</t>
  </si>
  <si>
    <t>Bình gas Petrolimex 12kg</t>
  </si>
  <si>
    <t>PETROLIMEX</t>
  </si>
  <si>
    <t xml:space="preserve">Bulong đầu lục giác </t>
  </si>
  <si>
    <t>Kích thước: M5 x 15</t>
  </si>
  <si>
    <t>Kích thước: M6 x 15</t>
  </si>
  <si>
    <t>Kích thước: M10 x 25</t>
  </si>
  <si>
    <t>Kích thước: M10 x 50</t>
  </si>
  <si>
    <t>Vít M6 + Đai ốc M6</t>
  </si>
  <si>
    <t>Kích thước: M6x10</t>
  </si>
  <si>
    <t>Đai ốc</t>
  </si>
  <si>
    <t>M10, loại thông dụng trên thị trường</t>
  </si>
  <si>
    <t>Kích thước ren M10
Rộng 16.73 - 17 mm
Độ dày 7.64 - 8 mm
Bước ren 1/1.25/1.5 mm
Vật liệu Thép Carbon</t>
  </si>
  <si>
    <t>C</t>
  </si>
  <si>
    <t>Pin đo dao và đo phôi</t>
  </si>
  <si>
    <t>S 14250 – 3.6V</t>
  </si>
  <si>
    <t>Kiểu pin: Pin lithium nuôi nguồn cho PLC, CNC, TMPS
Thương hiệu: SAFT
Model: LS 14250
Điện áp: 3.6V
Dung lượng: 1200 mAh
Size: 1/2AA
Kích thước: đường kính 14.65mm, chiều cao 24.80mm
Trọng lượng: 8g</t>
  </si>
  <si>
    <t>SAFT</t>
  </si>
  <si>
    <t>PHÁP</t>
  </si>
  <si>
    <t>Phấn đá</t>
  </si>
  <si>
    <t>Cọ quét sơn</t>
  </si>
  <si>
    <t>- Loại lớn</t>
  </si>
  <si>
    <t>- Loại nhỏ</t>
  </si>
  <si>
    <t>Bao tay hàn chịu nhiệt</t>
  </si>
  <si>
    <t>Bình sơn xịt</t>
  </si>
  <si>
    <t>- Màu xám
- Dung tích 400ml</t>
  </si>
  <si>
    <t>- Màu vàng
- Dung tích 400ml</t>
  </si>
  <si>
    <t>- Màu bạc
- Dung tích 400ml</t>
  </si>
  <si>
    <t>- Màu đỏ
- Dung tích 400ml</t>
  </si>
  <si>
    <t>Hộp 10 bóng đèn ô tô xe hơi (trắng, vàng) đuôi cài hai tóc 12v/10w</t>
  </si>
  <si>
    <t xml:space="preserve"> Loại chân C11; Sử dụng làm đèn thắng, đèn hậu dành cho ô tô; Điện áp: 12V; Công suất chiếu sáng: 21W; Phân loại: 1 tóc/2 tóc; Ánh sáng: vàng.D10</t>
  </si>
  <si>
    <t>Hôp</t>
  </si>
  <si>
    <t>Công cụ kiểm tra mạch điện ô tô 6-24v công cụ thăm dò đèn kiểm tra</t>
  </si>
  <si>
    <t>Đèn chiếu sáng trong tay cầm phát sáng khi kết nối mạch hoàn tất. Đầu dò bằng thép sắc bén dễ dàng xuyên qua dây Cách nhiệt để kiểm tra mạch. Kiểm tra cầu chì ô tô, ổ cắm đèn, v.v. Xác định vị trí ngắn mạch, giúp tìm dây bị đứt và sống.</t>
  </si>
  <si>
    <t>Môtơ gạt nước xe vios 2010</t>
  </si>
  <si>
    <t>Được sử dụng cho xe toyota Vios 2008 2009 2010 2011 2012 2013</t>
  </si>
  <si>
    <t>Vòng ép xéc măng</t>
  </si>
  <si>
    <t>+ Vòng ép bạc 1 : 53mm-125mm.Dài: 76mm.
+ Vòng ép bạc 2: 90mm-175mm.Dài: 76mm.
+ Vòng ép bạc 3: 90mm-175mm.Dài: 101mm.D305
+ Kiềm tháo/lắp bạc: 50mm-100mm.</t>
  </si>
  <si>
    <t>Bộ cúp ben phanh bánh xe</t>
  </si>
  <si>
    <t>3/4 inch (30 bộ), 5/8 inch (10 bộ)</t>
  </si>
  <si>
    <t>Bộ cúp ben phanh tổng phanh</t>
  </si>
  <si>
    <t>3/4 inch (10 bộ), 5/8 inch (5 bộ)</t>
  </si>
  <si>
    <t xml:space="preserve">IC đánh lửa hãng Toyota, </t>
  </si>
  <si>
    <t>loại 5 chân IC, điều khiển bằng ECU động cơ 5A-FE</t>
  </si>
  <si>
    <t>Bobin đánh lửa hãng Toyota</t>
  </si>
  <si>
    <t>động cơ 5A-FE</t>
  </si>
  <si>
    <t>Bộ khay inox đựng chi tiết hiệu KTC TYKPT</t>
  </si>
  <si>
    <t>hiệu KTC TYKPT</t>
  </si>
  <si>
    <t xml:space="preserve">Mô tơ bơm xăng cao áp </t>
  </si>
  <si>
    <t>toyota corolla 2000</t>
  </si>
  <si>
    <t>Dây điện ô tô (1kg/1loại)</t>
  </si>
  <si>
    <t>cho  3 loại: 0,5mm2, 1 mm2, 1,5 mm2</t>
  </si>
  <si>
    <t>kg</t>
  </si>
  <si>
    <t>Cụm delco đánh lửa bằng vít lửa xe</t>
  </si>
  <si>
    <t xml:space="preserve"> toyota corolla 2000</t>
  </si>
  <si>
    <t>Bugi Toyota,</t>
  </si>
  <si>
    <t xml:space="preserve"> động cơ 5A-FE</t>
  </si>
  <si>
    <t xml:space="preserve">Kim phun xăng toyota xe </t>
  </si>
  <si>
    <t>toyota zace (1999 – 2005)</t>
  </si>
  <si>
    <t xml:space="preserve">Củ đề (khởi động) động cơ </t>
  </si>
  <si>
    <t>Toyota 5A-FE</t>
  </si>
  <si>
    <t>Ống đồng 6mm; 8mm (25 m/loại)</t>
  </si>
  <si>
    <t>Đường kính 6mm, 8mm độ dày 0,71mm</t>
  </si>
  <si>
    <t>Ống cao su thủy lực 6mm, 8mm (20 m/loại)</t>
  </si>
  <si>
    <t>Đường kính 6mm, 8mm.</t>
  </si>
  <si>
    <t>Bột xoáy xúp páp, cốt máy</t>
  </si>
  <si>
    <t>Grinding Paste NHKing NO277</t>
  </si>
  <si>
    <t xml:space="preserve">Hộp </t>
  </si>
  <si>
    <t xml:space="preserve">Bình ắc quy nước ĐN </t>
  </si>
  <si>
    <t>12V-80Ah, kích thước 258*171*199 mm</t>
  </si>
  <si>
    <t>Hộp đựng đồ nghề 2 ngăn 18" hiệu Asaki AK-9956</t>
  </si>
  <si>
    <t xml:space="preserve"> 2 ngăn 18" hiệu Asaki AK-9956</t>
  </si>
  <si>
    <t>Kìm tháo xéc măng</t>
  </si>
  <si>
    <t>KÌm được chế tạo bằng thép CR-V, chịu được lực cao (Yato YT-06373)
Độ dày vòng bạc: 1.2mm 6.3mm, chiều dài tổng thể 170mm, miệng kìm có thể mở rộng đến 50mm, Cán kìm được bọc nhựa mềm,</t>
  </si>
  <si>
    <t xml:space="preserve">Cảo supap </t>
  </si>
  <si>
    <t>Phạm vi 35-200inch</t>
  </si>
  <si>
    <t xml:space="preserve">cái </t>
  </si>
  <si>
    <t>Bộ dụng cụ uốn ống đồng</t>
  </si>
  <si>
    <t>6 - 22mm</t>
  </si>
  <si>
    <t>Bộ kìm bấm cos ống dầu thủy lực</t>
  </si>
  <si>
    <t>16-300mm2</t>
  </si>
  <si>
    <t>Thiết bị kiểm tra dầu thắng</t>
  </si>
  <si>
    <t>JTC 1538A</t>
  </si>
  <si>
    <t>Bộ dụng cụ thay, xả gió dầu phanh</t>
  </si>
  <si>
    <t>2 lít</t>
  </si>
  <si>
    <t xml:space="preserve">Cưa thép cầm tay </t>
  </si>
  <si>
    <t>12" Stayley 15-565</t>
  </si>
  <si>
    <t xml:space="preserve">Dũa thép cầm tay dẹp </t>
  </si>
  <si>
    <t>E0014-P12"</t>
  </si>
  <si>
    <t>Bộ cảo puly trục khuỷu</t>
  </si>
  <si>
    <t>∅165mm</t>
  </si>
  <si>
    <t>Bộ dụng cụ cạo sủi gioăng bề mặt động cơ</t>
  </si>
  <si>
    <t>Tone SSC-22</t>
  </si>
  <si>
    <t>Bộ đo áp suất buồng đốt động cơ</t>
  </si>
  <si>
    <t>0 – 21 Kg/cm2</t>
  </si>
  <si>
    <t>Bộ cảo mở lọc nhớt, lọc xăng, lọc dầu</t>
  </si>
  <si>
    <t>GDC20-30</t>
  </si>
  <si>
    <t>Bộ dụng cụ tháo lắp xúp páp</t>
  </si>
  <si>
    <t>16mm, 19mm, 23mm, 25mm, 30mm</t>
  </si>
  <si>
    <t>Búa cao su đen cán nhựa 440g</t>
  </si>
  <si>
    <t>160z búa cao su đen cán nhựa Wadfow mã hàng WAD-302-847</t>
  </si>
  <si>
    <t xml:space="preserve">Búa lục giác </t>
  </si>
  <si>
    <t>0.5 Kg Crossman 68-401</t>
  </si>
  <si>
    <t>Thước căn lá dải đo 0.05 - 3 mm</t>
  </si>
  <si>
    <t>0.05 - 3 mm</t>
  </si>
  <si>
    <t>Giấy nhám (loại P150, P180, P200, P220) (50 tờ/loại)</t>
  </si>
  <si>
    <t>P150, P180, P200, P220</t>
  </si>
  <si>
    <t xml:space="preserve">Tờ </t>
  </si>
  <si>
    <t>Bình xịt RP7</t>
  </si>
  <si>
    <t xml:space="preserve"> RP7 loại 300g</t>
  </si>
  <si>
    <t>Chai vệ sinh phanh và tang bua phanh</t>
  </si>
  <si>
    <t>3M</t>
  </si>
  <si>
    <t>Bình tra nhớt</t>
  </si>
  <si>
    <t xml:space="preserve">Dầu bôi trơn đa năng </t>
  </si>
  <si>
    <t>Loại WD40</t>
  </si>
  <si>
    <t>Dầu tưới nguội</t>
  </si>
  <si>
    <t>Lít</t>
  </si>
  <si>
    <t>Giẻ lau</t>
  </si>
  <si>
    <t xml:space="preserve">Chổi đót </t>
  </si>
  <si>
    <t xml:space="preserve">Chổi cọng dừa </t>
  </si>
  <si>
    <t>Xà bông</t>
  </si>
  <si>
    <t>Bộ lau sàn nhà</t>
  </si>
  <si>
    <t>Mỡ bò</t>
  </si>
  <si>
    <t>Mở bò chịu nhiệt (0,5kg/hộp)</t>
  </si>
  <si>
    <t>Hiệu Litol 0.5 kg</t>
  </si>
  <si>
    <t>Nước làm mát động cơ</t>
  </si>
  <si>
    <t>LIQUI MOLY</t>
  </si>
  <si>
    <t>Dầu trợ lực lái</t>
  </si>
  <si>
    <t>Castrol Atf Dex III</t>
  </si>
  <si>
    <t>Dầu thắng DOT 4</t>
  </si>
  <si>
    <t xml:space="preserve">Dầu thắng motul dot 4 tổng hợp 0.5Lit </t>
  </si>
  <si>
    <t>Dầu diesel</t>
  </si>
  <si>
    <t>DO 0.05S  (Sử dụng cho động cơ Diesel)</t>
  </si>
  <si>
    <t>Xăng A95</t>
  </si>
  <si>
    <t xml:space="preserve">A95 </t>
  </si>
  <si>
    <t>Nhớt máy</t>
  </si>
  <si>
    <t>dầu nhớt động cơ Castrol Magnatec Professional 5W30
Quy cách đóng gói: Can 4L, Tiêu chuẩn kỹ thuật:- ACEA A1/B1, A5/B5- API SN- Độ nhớt SAE 5W-30</t>
  </si>
  <si>
    <t xml:space="preserve">Lít </t>
  </si>
  <si>
    <t>Nhớt</t>
  </si>
  <si>
    <t>Nhớt 40</t>
  </si>
  <si>
    <t xml:space="preserve">Kích thước ren M4 x 0.7
</t>
  </si>
  <si>
    <t>Vật liệu: đồng thau CuZn37
Đường kính dây: 0.25 mm
Khối lượng: 5kg/cuộn</t>
  </si>
  <si>
    <t>Kích thước ren M6 x 1,0</t>
  </si>
  <si>
    <t>24" Thước thuỷ Stanley STHT42074-8
Chiều dài 600mm</t>
  </si>
  <si>
    <t>Rulo Điện Lioa 30M QT30-2-15A Công Suất 2200W Dây Đồng 2×1.5</t>
  </si>
  <si>
    <t>lioa</t>
  </si>
  <si>
    <t>Đơn giá( đã giảm)</t>
  </si>
  <si>
    <t>Đơn giá(gốc)</t>
  </si>
  <si>
    <t>Nhựa PE, màu trắng, khổ 1.200 x 2.400 x 20</t>
  </si>
  <si>
    <t>SUNGHO</t>
  </si>
  <si>
    <t>HQ</t>
  </si>
  <si>
    <t>Kích thước: 100x100x122</t>
  </si>
  <si>
    <t xml:space="preserve">Dao phay ngón 3mm </t>
  </si>
  <si>
    <t>Thép Láp tròn</t>
  </si>
  <si>
    <t>Thép tấm trơn</t>
  </si>
  <si>
    <t>Thép ống đen</t>
  </si>
  <si>
    <t>Nhôm tròn đặc</t>
  </si>
  <si>
    <r>
      <t>Ổ cắm thông minh</t>
    </r>
    <r>
      <rPr>
        <b/>
        <sz val="12"/>
        <rFont val="Times New Roman"/>
        <family val="1"/>
      </rPr>
      <t xml:space="preserve"> </t>
    </r>
    <r>
      <rPr>
        <sz val="12"/>
        <rFont val="Times New Roman"/>
        <family val="1"/>
      </rPr>
      <t>sps1 Wifi</t>
    </r>
  </si>
  <si>
    <r>
      <t>m</t>
    </r>
    <r>
      <rPr>
        <vertAlign val="superscript"/>
        <sz val="12"/>
        <rFont val="Times New Roman"/>
        <family val="1"/>
      </rPr>
      <t>2</t>
    </r>
  </si>
  <si>
    <t>Mô-men xoắn (các công việc vặn vít mềm): 0,0 / 1676,0 Nm
Đầu vào công suất định mức: 600 W
Tốc độ không tải: 0 - 2600 vòng/phút
Mô-men xoắn định mức: 20,0 Nm
Trọng lượng không tính cáp: 1,7 kg</t>
  </si>
  <si>
    <t xml:space="preserve">Điện áp 
24VAC, 24VDC
</t>
  </si>
  <si>
    <t xml:space="preserve">Loại pin: Pin kiềm / Alkaline
• Hãng: Panasonic (Japan)
</t>
  </si>
  <si>
    <t>Kiểu : mặt 2 lỗ + 2 ổ gắn liền mặt
-Kích thước : 70mm x 120mm</t>
  </si>
  <si>
    <t xml:space="preserve">Giữ giá nhưng có giảm số lượng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</si>
</sst>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164" formatCode="_-* #,##0.00_-;\-* #,##0.00_-;_-* &quot;-&quot;??_-;_-@_-"/>
    <numFmt numFmtId="165" formatCode="_-* #,##0_-;\-* #,##0_-;_-* &quot;-&quot;??_-;_-@_-"/>
  </numFmts>
  <fonts count="16">
    <font>
      <sz val="10"/>
      <color rgb="FF000000"/>
      <name val="Arial"/>
      <charset val="134"/>
      <scheme val="minor"/>
    </font>
    <font>
      <sz val="12"/>
      <name val="Times New Roman"/>
      <family val="1"/>
    </font>
    <font>
      <b/>
      <sz val="12"/>
      <name val="Times New Roman"/>
      <family val="1"/>
    </font>
    <font>
      <i/>
      <sz val="12"/>
      <name val="Times New Roman"/>
      <family val="1"/>
    </font>
    <font>
      <sz val="11"/>
      <name val="Times New Roman"/>
      <family val="1"/>
    </font>
    <font>
      <sz val="11"/>
      <name val="VNI-Avo"/>
      <charset val="134"/>
    </font>
    <font>
      <vertAlign val="superscript"/>
      <sz val="12"/>
      <name val="Times New Roman"/>
      <family val="1"/>
    </font>
    <font>
      <sz val="10"/>
      <color rgb="FF000000"/>
      <name val="Arial"/>
      <family val="2"/>
      <scheme val="minor"/>
    </font>
    <font>
      <sz val="10"/>
      <name val="Times New Roman"/>
      <family val="1"/>
    </font>
    <font>
      <u/>
      <sz val="10"/>
      <color theme="10"/>
      <name val="Arial"/>
      <family val="2"/>
      <scheme val="minor"/>
    </font>
    <font>
      <sz val="10"/>
      <name val="Arial"/>
      <family val="2"/>
      <scheme val="minor"/>
    </font>
    <font>
      <sz val="10.5"/>
      <name val="Helvetica"/>
      <charset val="134"/>
    </font>
    <font>
      <sz val="10.5"/>
      <name val="Times New Roman"/>
      <family val="1"/>
    </font>
    <font>
      <sz val="12"/>
      <name val="Arial"/>
      <family val="2"/>
      <scheme val="minor"/>
    </font>
    <font>
      <b/>
      <sz val="12"/>
      <color rgb="FFFF0000"/>
      <name val="Times New Roman"/>
      <family val="1"/>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s>
  <cellStyleXfs count="8">
    <xf numFmtId="0" fontId="0"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5" fillId="0" borderId="0"/>
    <xf numFmtId="0" fontId="1" fillId="0" borderId="0"/>
    <xf numFmtId="0" fontId="7" fillId="0" borderId="0"/>
    <xf numFmtId="0" fontId="9" fillId="0" borderId="0" applyNumberFormat="0" applyFill="0" applyBorder="0" applyAlignment="0" applyProtection="0"/>
  </cellStyleXfs>
  <cellXfs count="79">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3" fontId="3" fillId="0" borderId="0" xfId="0" applyNumberFormat="1" applyFont="1" applyAlignment="1">
      <alignment horizontal="center" vertical="center" wrapText="1"/>
    </xf>
    <xf numFmtId="0" fontId="1" fillId="0" borderId="0" xfId="0" applyFont="1" applyAlignment="1">
      <alignment vertical="center" wrapText="1"/>
    </xf>
    <xf numFmtId="3" fontId="1" fillId="0" borderId="0" xfId="0" applyNumberFormat="1" applyFont="1" applyAlignment="1">
      <alignment horizontal="center" vertical="center" wrapText="1"/>
    </xf>
    <xf numFmtId="3" fontId="2" fillId="0" borderId="0" xfId="0" applyNumberFormat="1" applyFont="1" applyAlignment="1">
      <alignment horizontal="center" vertical="center" wrapText="1"/>
    </xf>
    <xf numFmtId="0" fontId="2" fillId="0" borderId="1" xfId="0" applyFont="1" applyBorder="1" applyAlignment="1">
      <alignment horizontal="center" vertical="center" wrapText="1"/>
    </xf>
    <xf numFmtId="165" fontId="2" fillId="0" borderId="1" xfId="1" applyNumberFormat="1" applyFont="1" applyFill="1" applyBorder="1" applyAlignment="1">
      <alignment horizontal="center" vertical="center" wrapText="1"/>
    </xf>
    <xf numFmtId="165" fontId="2" fillId="0" borderId="2" xfId="1" applyNumberFormat="1" applyFont="1" applyFill="1" applyBorder="1" applyAlignment="1">
      <alignment horizontal="center" vertical="center" wrapText="1"/>
    </xf>
    <xf numFmtId="3" fontId="2" fillId="0" borderId="2" xfId="0" applyNumberFormat="1" applyFont="1" applyBorder="1" applyAlignment="1">
      <alignment horizontal="center" vertical="center" wrapText="1"/>
    </xf>
    <xf numFmtId="0" fontId="1" fillId="0" borderId="0" xfId="0" applyFont="1"/>
    <xf numFmtId="165" fontId="1" fillId="0" borderId="0" xfId="1" applyNumberFormat="1" applyFont="1" applyFill="1" applyAlignment="1">
      <alignment vertical="center" wrapText="1"/>
    </xf>
    <xf numFmtId="41" fontId="8" fillId="0" borderId="3" xfId="0" applyNumberFormat="1" applyFont="1" applyBorder="1" applyAlignment="1">
      <alignment horizontal="center" vertical="center"/>
    </xf>
    <xf numFmtId="165" fontId="1" fillId="0" borderId="0" xfId="1" applyNumberFormat="1" applyFont="1" applyFill="1" applyAlignment="1">
      <alignment horizontal="center" vertical="center" wrapText="1"/>
    </xf>
    <xf numFmtId="9" fontId="1" fillId="0" borderId="0" xfId="0" applyNumberFormat="1" applyFont="1" applyAlignment="1">
      <alignment horizontal="center" vertical="center" wrapText="1"/>
    </xf>
    <xf numFmtId="165" fontId="1" fillId="0" borderId="3" xfId="1" applyNumberFormat="1" applyFont="1" applyFill="1" applyBorder="1" applyAlignment="1">
      <alignment horizontal="center" vertical="center" wrapText="1"/>
    </xf>
    <xf numFmtId="3" fontId="1" fillId="0" borderId="3" xfId="0" applyNumberFormat="1" applyFont="1" applyBorder="1" applyAlignment="1">
      <alignment horizontal="center" vertical="center" wrapText="1"/>
    </xf>
    <xf numFmtId="41" fontId="1" fillId="0" borderId="3" xfId="0" applyNumberFormat="1" applyFont="1" applyBorder="1" applyAlignment="1">
      <alignment horizontal="center" vertical="center"/>
    </xf>
    <xf numFmtId="3" fontId="4"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0" fillId="0" borderId="3" xfId="0" applyFont="1" applyBorder="1"/>
    <xf numFmtId="0" fontId="1" fillId="0" borderId="3" xfId="0" applyFont="1" applyBorder="1"/>
    <xf numFmtId="0" fontId="1" fillId="0" borderId="3" xfId="0" applyFont="1" applyBorder="1" applyAlignment="1">
      <alignment vertical="center"/>
    </xf>
    <xf numFmtId="0" fontId="1" fillId="0" borderId="3" xfId="0" applyFont="1" applyBorder="1" applyAlignment="1">
      <alignment vertical="center" wrapText="1"/>
    </xf>
    <xf numFmtId="165" fontId="1" fillId="0" borderId="3" xfId="1" applyNumberFormat="1" applyFont="1" applyFill="1" applyBorder="1" applyAlignment="1">
      <alignment horizontal="center" vertical="center"/>
    </xf>
    <xf numFmtId="0" fontId="1" fillId="0" borderId="3" xfId="6" applyFont="1" applyBorder="1" applyAlignment="1">
      <alignment horizontal="left" vertical="center"/>
    </xf>
    <xf numFmtId="0" fontId="1" fillId="0" borderId="3" xfId="0" applyFont="1" applyBorder="1" applyAlignment="1">
      <alignment horizontal="center" vertical="center"/>
    </xf>
    <xf numFmtId="0" fontId="1" fillId="0" borderId="3" xfId="0" applyFont="1" applyBorder="1" applyAlignment="1">
      <alignment horizontal="left" vertical="top" wrapText="1"/>
    </xf>
    <xf numFmtId="0" fontId="10" fillId="0" borderId="3" xfId="7" applyFont="1" applyFill="1" applyBorder="1" applyAlignment="1">
      <alignment horizontal="center"/>
    </xf>
    <xf numFmtId="0" fontId="1" fillId="0" borderId="3" xfId="4" applyFont="1" applyBorder="1" applyAlignment="1">
      <alignment horizontal="center" vertical="center"/>
    </xf>
    <xf numFmtId="0" fontId="1" fillId="0" borderId="3" xfId="0" applyFont="1" applyBorder="1" applyAlignment="1">
      <alignment horizontal="left" vertical="center"/>
    </xf>
    <xf numFmtId="0" fontId="1" fillId="0" borderId="3" xfId="6" applyFont="1" applyBorder="1" applyAlignment="1">
      <alignment horizontal="center" vertical="center"/>
    </xf>
    <xf numFmtId="0" fontId="1" fillId="0" borderId="3" xfId="0" applyFont="1" applyBorder="1" applyAlignment="1">
      <alignment horizontal="justify" vertical="center"/>
    </xf>
    <xf numFmtId="0" fontId="1" fillId="0" borderId="3" xfId="0" applyFont="1" applyBorder="1" applyAlignment="1">
      <alignment horizontal="justify" vertical="center" wrapText="1"/>
    </xf>
    <xf numFmtId="0" fontId="1" fillId="0" borderId="3" xfId="6" applyFont="1" applyBorder="1" applyAlignment="1">
      <alignment vertical="center" wrapText="1"/>
    </xf>
    <xf numFmtId="0" fontId="11" fillId="0" borderId="3" xfId="0" applyFont="1" applyBorder="1"/>
    <xf numFmtId="0" fontId="1" fillId="0" borderId="3" xfId="0" quotePrefix="1" applyFont="1" applyBorder="1" applyAlignment="1">
      <alignment vertical="center" wrapText="1"/>
    </xf>
    <xf numFmtId="0" fontId="1" fillId="0" borderId="3" xfId="0" applyFont="1" applyBorder="1" applyAlignment="1">
      <alignment horizontal="center"/>
    </xf>
    <xf numFmtId="0" fontId="12" fillId="0" borderId="3" xfId="0" applyFont="1" applyBorder="1"/>
    <xf numFmtId="0" fontId="1" fillId="0" borderId="3" xfId="0" quotePrefix="1" applyFont="1" applyBorder="1" applyAlignment="1">
      <alignment horizontal="left" vertical="center" wrapText="1"/>
    </xf>
    <xf numFmtId="0" fontId="4" fillId="0" borderId="3" xfId="0" applyFont="1" applyBorder="1" applyAlignment="1">
      <alignment horizontal="center"/>
    </xf>
    <xf numFmtId="0" fontId="4" fillId="0" borderId="3" xfId="4" applyFont="1" applyBorder="1" applyAlignment="1">
      <alignment vertical="center"/>
    </xf>
    <xf numFmtId="0" fontId="4" fillId="0" borderId="3" xfId="0" applyFont="1" applyBorder="1" applyAlignment="1">
      <alignment horizontal="center" vertical="center"/>
    </xf>
    <xf numFmtId="165" fontId="4" fillId="0" borderId="3" xfId="1" applyNumberFormat="1" applyFont="1" applyFill="1" applyBorder="1" applyAlignment="1">
      <alignment horizontal="center" vertical="center" wrapText="1"/>
    </xf>
    <xf numFmtId="0" fontId="4" fillId="0" borderId="3" xfId="0" applyFont="1" applyBorder="1" applyAlignment="1">
      <alignment vertical="center"/>
    </xf>
    <xf numFmtId="0" fontId="4" fillId="0" borderId="3" xfId="0" applyFont="1" applyBorder="1" applyAlignment="1">
      <alignment horizontal="left" vertical="center" wrapText="1"/>
    </xf>
    <xf numFmtId="165" fontId="1" fillId="0" borderId="3" xfId="0" applyNumberFormat="1" applyFont="1" applyBorder="1" applyAlignment="1">
      <alignment horizontal="left" vertical="center" wrapText="1"/>
    </xf>
    <xf numFmtId="0" fontId="1" fillId="0" borderId="3" xfId="0" applyFont="1" applyBorder="1" applyAlignment="1">
      <alignment wrapText="1"/>
    </xf>
    <xf numFmtId="0" fontId="4" fillId="0" borderId="3" xfId="4" applyFont="1" applyBorder="1" applyAlignment="1">
      <alignment horizontal="left" vertical="center" wrapText="1"/>
    </xf>
    <xf numFmtId="0" fontId="4" fillId="0" borderId="3" xfId="4" applyFont="1" applyBorder="1" applyAlignment="1">
      <alignment horizontal="center" vertical="center"/>
    </xf>
    <xf numFmtId="0" fontId="4" fillId="0" borderId="3" xfId="0" applyFont="1" applyBorder="1" applyAlignment="1">
      <alignment horizontal="left" vertical="center"/>
    </xf>
    <xf numFmtId="0" fontId="4" fillId="0" borderId="3" xfId="4" applyFont="1" applyBorder="1" applyAlignment="1">
      <alignment horizontal="left" vertical="center"/>
    </xf>
    <xf numFmtId="0" fontId="13" fillId="0" borderId="3" xfId="0" applyFont="1" applyBorder="1"/>
    <xf numFmtId="49" fontId="1" fillId="0" borderId="3" xfId="0" applyNumberFormat="1" applyFont="1" applyBorder="1" applyAlignment="1">
      <alignment horizontal="left" vertical="top" wrapText="1"/>
    </xf>
    <xf numFmtId="165" fontId="3" fillId="0" borderId="3" xfId="1" applyNumberFormat="1" applyFont="1" applyFill="1" applyBorder="1" applyAlignment="1">
      <alignment horizontal="center" vertical="center"/>
    </xf>
    <xf numFmtId="49" fontId="1" fillId="0" borderId="3" xfId="0" applyNumberFormat="1" applyFont="1" applyBorder="1" applyAlignment="1">
      <alignment vertical="center" wrapText="1"/>
    </xf>
    <xf numFmtId="3" fontId="2" fillId="0" borderId="3" xfId="0" applyNumberFormat="1" applyFont="1" applyBorder="1" applyAlignment="1">
      <alignment horizontal="center" vertical="center" wrapText="1"/>
    </xf>
    <xf numFmtId="0" fontId="15" fillId="2" borderId="3" xfId="0" applyFont="1" applyFill="1" applyBorder="1" applyAlignment="1">
      <alignment horizontal="left" vertical="center" wrapText="1"/>
    </xf>
    <xf numFmtId="0" fontId="15" fillId="2" borderId="3" xfId="0" applyFont="1" applyFill="1" applyBorder="1" applyAlignment="1">
      <alignment horizontal="center" vertical="center" wrapText="1"/>
    </xf>
    <xf numFmtId="165" fontId="15" fillId="2" borderId="3" xfId="1" applyNumberFormat="1" applyFont="1" applyFill="1" applyBorder="1" applyAlignment="1">
      <alignment horizontal="center" vertical="center" wrapText="1"/>
    </xf>
    <xf numFmtId="165" fontId="15" fillId="2" borderId="3" xfId="1" applyNumberFormat="1" applyFont="1" applyFill="1" applyBorder="1" applyAlignment="1">
      <alignment horizontal="center" vertical="center"/>
    </xf>
    <xf numFmtId="3" fontId="15" fillId="2" borderId="3" xfId="0" applyNumberFormat="1"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3" xfId="0" applyFont="1" applyFill="1" applyBorder="1" applyAlignment="1">
      <alignment vertical="center" wrapText="1"/>
    </xf>
    <xf numFmtId="165" fontId="1" fillId="2" borderId="3" xfId="1" applyNumberFormat="1" applyFont="1" applyFill="1" applyBorder="1" applyAlignment="1">
      <alignment horizontal="center" vertical="center" wrapText="1"/>
    </xf>
    <xf numFmtId="165" fontId="1" fillId="0" borderId="0" xfId="0" applyNumberFormat="1" applyFont="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 fillId="0" borderId="3" xfId="0" applyFont="1" applyBorder="1" applyAlignment="1">
      <alignment horizontal="left" vertical="center"/>
    </xf>
    <xf numFmtId="0" fontId="1" fillId="0" borderId="3" xfId="0" applyFont="1" applyBorder="1" applyAlignment="1">
      <alignment horizontal="left" vertical="center" wrapText="1"/>
    </xf>
  </cellXfs>
  <cellStyles count="8">
    <cellStyle name="Comma" xfId="1" builtinId="3"/>
    <cellStyle name="Comma 3" xfId="2"/>
    <cellStyle name="Comma 4" xfId="3"/>
    <cellStyle name="Hyperlink" xfId="7" builtinId="8"/>
    <cellStyle name="Normal" xfId="0" builtinId="0"/>
    <cellStyle name="Normal 2" xfId="4"/>
    <cellStyle name="Normal 2 4 9" xfId="5"/>
    <cellStyle name="Normal 4" xfId="6"/>
  </cellStyles>
  <dxfs count="7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819979</xdr:colOff>
      <xdr:row>442</xdr:row>
      <xdr:rowOff>66261</xdr:rowOff>
    </xdr:from>
    <xdr:to>
      <xdr:col>2</xdr:col>
      <xdr:colOff>911087</xdr:colOff>
      <xdr:row>442</xdr:row>
      <xdr:rowOff>173935</xdr:rowOff>
    </xdr:to>
    <xdr:sp macro="" textlink="">
      <xdr:nvSpPr>
        <xdr:cNvPr id="2" name="Rectangle 1">
          <a:extLst>
            <a:ext uri="{FF2B5EF4-FFF2-40B4-BE49-F238E27FC236}">
              <a16:creationId xmlns="" xmlns:a16="http://schemas.microsoft.com/office/drawing/2014/main" id="{00000000-0008-0000-0000-000002000000}"/>
            </a:ext>
          </a:extLst>
        </xdr:cNvPr>
        <xdr:cNvSpPr/>
      </xdr:nvSpPr>
      <xdr:spPr>
        <a:xfrm>
          <a:off x="4317365" y="338794725"/>
          <a:ext cx="90805" cy="1073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vnecco.com/sungho" TargetMode="External"/><Relationship Id="rId1" Type="http://schemas.openxmlformats.org/officeDocument/2006/relationships/hyperlink" Target="https://vnecco.com/sungh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623"/>
  <sheetViews>
    <sheetView tabSelected="1" topLeftCell="A584" zoomScaleNormal="100" workbookViewId="0">
      <selection activeCell="D604" sqref="D604"/>
    </sheetView>
  </sheetViews>
  <sheetFormatPr defaultColWidth="12.7109375" defaultRowHeight="15.75" customHeight="1"/>
  <cols>
    <col min="1" max="1" width="4.5703125" style="2" customWidth="1"/>
    <col min="2" max="2" width="46.42578125" style="4" customWidth="1"/>
    <col min="3" max="3" width="40.42578125" style="1" customWidth="1"/>
    <col min="4" max="4" width="26" style="1" customWidth="1"/>
    <col min="5" max="5" width="8.85546875" style="4" customWidth="1"/>
    <col min="6" max="6" width="10.85546875" style="14" customWidth="1"/>
    <col min="7" max="7" width="14.5703125" style="14" customWidth="1"/>
    <col min="8" max="8" width="10.85546875" style="14" customWidth="1"/>
    <col min="9" max="9" width="14" style="14" customWidth="1"/>
    <col min="10" max="10" width="18.7109375" style="5" customWidth="1"/>
    <col min="11" max="11" width="20.42578125" style="5" customWidth="1"/>
    <col min="12" max="16384" width="12.7109375" style="4"/>
  </cols>
  <sheetData>
    <row r="1" spans="1:12" ht="15.75" customHeight="1">
      <c r="A1" s="70" t="s">
        <v>0</v>
      </c>
      <c r="B1" s="71"/>
      <c r="C1" s="71"/>
      <c r="D1" s="71"/>
      <c r="E1" s="71"/>
      <c r="F1" s="2"/>
      <c r="G1" s="2"/>
      <c r="H1" s="2"/>
      <c r="I1" s="2"/>
      <c r="J1" s="3"/>
      <c r="K1" s="3"/>
    </row>
    <row r="2" spans="1:12" ht="24" customHeight="1">
      <c r="A2" s="72" t="s">
        <v>1</v>
      </c>
      <c r="B2" s="73"/>
      <c r="C2" s="71"/>
      <c r="D2" s="71"/>
      <c r="E2" s="73"/>
      <c r="F2" s="74"/>
      <c r="G2" s="74"/>
      <c r="H2" s="74"/>
      <c r="I2" s="74"/>
    </row>
    <row r="3" spans="1:12" ht="28.5" customHeight="1">
      <c r="B3" s="75" t="s">
        <v>1437</v>
      </c>
      <c r="C3" s="76"/>
      <c r="D3" s="76"/>
      <c r="E3" s="75"/>
      <c r="F3" s="75"/>
      <c r="G3" s="75"/>
      <c r="H3" s="75"/>
      <c r="I3" s="75"/>
      <c r="J3" s="6"/>
      <c r="K3" s="6"/>
    </row>
    <row r="4" spans="1:12" ht="15.75" customHeight="1">
      <c r="A4" s="7" t="s">
        <v>2</v>
      </c>
      <c r="B4" s="7" t="s">
        <v>3</v>
      </c>
      <c r="C4" s="7" t="s">
        <v>4</v>
      </c>
      <c r="D4" s="7" t="s">
        <v>4</v>
      </c>
      <c r="E4" s="7" t="s">
        <v>5</v>
      </c>
      <c r="F4" s="8" t="s">
        <v>6</v>
      </c>
      <c r="G4" s="9" t="s">
        <v>7</v>
      </c>
      <c r="H4" s="9" t="s">
        <v>8</v>
      </c>
      <c r="I4" s="9" t="s">
        <v>1421</v>
      </c>
      <c r="J4" s="9" t="s">
        <v>1420</v>
      </c>
      <c r="K4" s="10" t="s">
        <v>9</v>
      </c>
    </row>
    <row r="5" spans="1:12" ht="126">
      <c r="A5" s="20">
        <v>1</v>
      </c>
      <c r="B5" s="21" t="s">
        <v>10</v>
      </c>
      <c r="C5" s="21" t="s">
        <v>11</v>
      </c>
      <c r="D5" s="21" t="s">
        <v>12</v>
      </c>
      <c r="E5" s="20" t="s">
        <v>13</v>
      </c>
      <c r="F5" s="16">
        <v>300</v>
      </c>
      <c r="G5" s="16" t="s">
        <v>14</v>
      </c>
      <c r="H5" s="16" t="s">
        <v>15</v>
      </c>
      <c r="I5" s="16">
        <v>5000</v>
      </c>
      <c r="J5" s="17">
        <v>4000</v>
      </c>
      <c r="K5" s="17">
        <f t="shared" ref="K5:K68" si="0">F5*J5</f>
        <v>1200000</v>
      </c>
      <c r="L5" s="69">
        <f>I5*80%</f>
        <v>4000</v>
      </c>
    </row>
    <row r="6" spans="1:12" ht="126">
      <c r="A6" s="20">
        <v>2</v>
      </c>
      <c r="B6" s="21" t="s">
        <v>10</v>
      </c>
      <c r="C6" s="21" t="s">
        <v>16</v>
      </c>
      <c r="D6" s="21" t="s">
        <v>12</v>
      </c>
      <c r="E6" s="20" t="s">
        <v>13</v>
      </c>
      <c r="F6" s="16">
        <v>300</v>
      </c>
      <c r="G6" s="16" t="s">
        <v>14</v>
      </c>
      <c r="H6" s="16" t="s">
        <v>15</v>
      </c>
      <c r="I6" s="16">
        <v>5000</v>
      </c>
      <c r="J6" s="17">
        <v>4000</v>
      </c>
      <c r="K6" s="17">
        <f t="shared" si="0"/>
        <v>1200000</v>
      </c>
      <c r="L6" s="69">
        <f t="shared" ref="L6:L69" si="1">I6*80%</f>
        <v>4000</v>
      </c>
    </row>
    <row r="7" spans="1:12" ht="18.75" customHeight="1">
      <c r="A7" s="20">
        <v>3</v>
      </c>
      <c r="B7" s="21" t="s">
        <v>17</v>
      </c>
      <c r="C7" s="21" t="s">
        <v>18</v>
      </c>
      <c r="D7" s="22" t="s">
        <v>19</v>
      </c>
      <c r="E7" s="20" t="s">
        <v>13</v>
      </c>
      <c r="F7" s="16">
        <v>1600</v>
      </c>
      <c r="G7" s="16" t="s">
        <v>14</v>
      </c>
      <c r="H7" s="16" t="s">
        <v>15</v>
      </c>
      <c r="I7" s="16">
        <v>6000</v>
      </c>
      <c r="J7" s="17">
        <v>4200</v>
      </c>
      <c r="K7" s="17">
        <f t="shared" si="0"/>
        <v>6720000</v>
      </c>
      <c r="L7" s="69">
        <f t="shared" si="1"/>
        <v>4800</v>
      </c>
    </row>
    <row r="8" spans="1:12" ht="31.5">
      <c r="A8" s="20">
        <v>4</v>
      </c>
      <c r="B8" s="21" t="s">
        <v>20</v>
      </c>
      <c r="C8" s="21" t="s">
        <v>21</v>
      </c>
      <c r="D8" s="21" t="s">
        <v>19</v>
      </c>
      <c r="E8" s="20" t="s">
        <v>13</v>
      </c>
      <c r="F8" s="16">
        <v>300</v>
      </c>
      <c r="G8" s="16" t="s">
        <v>14</v>
      </c>
      <c r="H8" s="16" t="s">
        <v>15</v>
      </c>
      <c r="I8" s="16">
        <v>6000</v>
      </c>
      <c r="J8" s="17">
        <v>4200</v>
      </c>
      <c r="K8" s="17">
        <f t="shared" si="0"/>
        <v>1260000</v>
      </c>
      <c r="L8" s="69">
        <f t="shared" si="1"/>
        <v>4800</v>
      </c>
    </row>
    <row r="9" spans="1:12" ht="31.5">
      <c r="A9" s="20">
        <v>5</v>
      </c>
      <c r="B9" s="21" t="s">
        <v>22</v>
      </c>
      <c r="C9" s="21" t="s">
        <v>23</v>
      </c>
      <c r="D9" s="21" t="s">
        <v>19</v>
      </c>
      <c r="E9" s="20" t="s">
        <v>13</v>
      </c>
      <c r="F9" s="16">
        <v>1100</v>
      </c>
      <c r="G9" s="16" t="s">
        <v>14</v>
      </c>
      <c r="H9" s="16" t="s">
        <v>15</v>
      </c>
      <c r="I9" s="16">
        <v>6000</v>
      </c>
      <c r="J9" s="17">
        <v>4200</v>
      </c>
      <c r="K9" s="17">
        <f t="shared" si="0"/>
        <v>4620000</v>
      </c>
      <c r="L9" s="69">
        <f t="shared" si="1"/>
        <v>4800</v>
      </c>
    </row>
    <row r="10" spans="1:12" s="11" customFormat="1" ht="94.5">
      <c r="A10" s="20">
        <v>6</v>
      </c>
      <c r="B10" s="23" t="s">
        <v>24</v>
      </c>
      <c r="C10" s="24" t="s">
        <v>25</v>
      </c>
      <c r="D10" s="25" t="s">
        <v>26</v>
      </c>
      <c r="E10" s="20" t="s">
        <v>13</v>
      </c>
      <c r="F10" s="26">
        <v>600</v>
      </c>
      <c r="G10" s="16" t="s">
        <v>14</v>
      </c>
      <c r="H10" s="16" t="s">
        <v>15</v>
      </c>
      <c r="I10" s="26">
        <v>6000</v>
      </c>
      <c r="J10" s="17">
        <v>4200</v>
      </c>
      <c r="K10" s="17">
        <f t="shared" si="0"/>
        <v>2520000</v>
      </c>
      <c r="L10" s="69">
        <f t="shared" si="1"/>
        <v>4800</v>
      </c>
    </row>
    <row r="11" spans="1:12" ht="94.5">
      <c r="A11" s="20">
        <v>7</v>
      </c>
      <c r="B11" s="21" t="s">
        <v>27</v>
      </c>
      <c r="C11" s="21" t="s">
        <v>28</v>
      </c>
      <c r="D11" s="21" t="s">
        <v>26</v>
      </c>
      <c r="E11" s="20" t="s">
        <v>13</v>
      </c>
      <c r="F11" s="16">
        <v>2000</v>
      </c>
      <c r="G11" s="16" t="s">
        <v>14</v>
      </c>
      <c r="H11" s="16" t="s">
        <v>15</v>
      </c>
      <c r="I11" s="16">
        <v>6000</v>
      </c>
      <c r="J11" s="17">
        <v>4800</v>
      </c>
      <c r="K11" s="17">
        <f t="shared" si="0"/>
        <v>9600000</v>
      </c>
      <c r="L11" s="69">
        <f t="shared" si="1"/>
        <v>4800</v>
      </c>
    </row>
    <row r="12" spans="1:12" ht="47.25">
      <c r="A12" s="20">
        <v>8</v>
      </c>
      <c r="B12" s="21" t="s">
        <v>29</v>
      </c>
      <c r="C12" s="21" t="s">
        <v>30</v>
      </c>
      <c r="D12" s="21" t="s">
        <v>31</v>
      </c>
      <c r="E12" s="20" t="s">
        <v>13</v>
      </c>
      <c r="F12" s="16">
        <v>500</v>
      </c>
      <c r="G12" s="16" t="s">
        <v>14</v>
      </c>
      <c r="H12" s="16" t="s">
        <v>15</v>
      </c>
      <c r="I12" s="16">
        <v>10000</v>
      </c>
      <c r="J12" s="17">
        <v>8400</v>
      </c>
      <c r="K12" s="17">
        <f t="shared" si="0"/>
        <v>4200000</v>
      </c>
      <c r="L12" s="69">
        <f t="shared" si="1"/>
        <v>8000</v>
      </c>
    </row>
    <row r="13" spans="1:12" ht="47.25">
      <c r="A13" s="20">
        <v>9</v>
      </c>
      <c r="B13" s="21" t="s">
        <v>32</v>
      </c>
      <c r="C13" s="21" t="s">
        <v>33</v>
      </c>
      <c r="D13" s="21" t="s">
        <v>31</v>
      </c>
      <c r="E13" s="20" t="s">
        <v>13</v>
      </c>
      <c r="F13" s="16">
        <v>900</v>
      </c>
      <c r="G13" s="16" t="s">
        <v>14</v>
      </c>
      <c r="H13" s="16" t="s">
        <v>15</v>
      </c>
      <c r="I13" s="16">
        <v>7000</v>
      </c>
      <c r="J13" s="17">
        <v>5800</v>
      </c>
      <c r="K13" s="17">
        <f t="shared" si="0"/>
        <v>5220000</v>
      </c>
      <c r="L13" s="69">
        <f t="shared" si="1"/>
        <v>5600</v>
      </c>
    </row>
    <row r="14" spans="1:12" ht="47.25">
      <c r="A14" s="20">
        <v>10</v>
      </c>
      <c r="B14" s="21" t="s">
        <v>34</v>
      </c>
      <c r="C14" s="21" t="s">
        <v>35</v>
      </c>
      <c r="D14" s="21" t="s">
        <v>31</v>
      </c>
      <c r="E14" s="20" t="s">
        <v>13</v>
      </c>
      <c r="F14" s="16">
        <v>500</v>
      </c>
      <c r="G14" s="16" t="s">
        <v>14</v>
      </c>
      <c r="H14" s="16" t="s">
        <v>15</v>
      </c>
      <c r="I14" s="16">
        <v>7001</v>
      </c>
      <c r="J14" s="17">
        <v>5800</v>
      </c>
      <c r="K14" s="17">
        <f t="shared" si="0"/>
        <v>2900000</v>
      </c>
      <c r="L14" s="69">
        <f t="shared" si="1"/>
        <v>5600.8</v>
      </c>
    </row>
    <row r="15" spans="1:12" ht="47.25">
      <c r="A15" s="20">
        <v>11</v>
      </c>
      <c r="B15" s="21" t="s">
        <v>36</v>
      </c>
      <c r="C15" s="21" t="s">
        <v>37</v>
      </c>
      <c r="D15" s="21" t="s">
        <v>31</v>
      </c>
      <c r="E15" s="20" t="s">
        <v>13</v>
      </c>
      <c r="F15" s="16">
        <v>900</v>
      </c>
      <c r="G15" s="16" t="s">
        <v>14</v>
      </c>
      <c r="H15" s="16" t="s">
        <v>15</v>
      </c>
      <c r="I15" s="16">
        <v>7002</v>
      </c>
      <c r="J15" s="17">
        <v>5800</v>
      </c>
      <c r="K15" s="17">
        <f t="shared" si="0"/>
        <v>5220000</v>
      </c>
      <c r="L15" s="69">
        <f t="shared" si="1"/>
        <v>5601.6</v>
      </c>
    </row>
    <row r="16" spans="1:12" s="11" customFormat="1" ht="220.5">
      <c r="A16" s="20">
        <v>12</v>
      </c>
      <c r="B16" s="27" t="s">
        <v>38</v>
      </c>
      <c r="C16" s="25" t="s">
        <v>14</v>
      </c>
      <c r="D16" s="25" t="s">
        <v>39</v>
      </c>
      <c r="E16" s="20" t="s">
        <v>13</v>
      </c>
      <c r="F16" s="26">
        <v>300</v>
      </c>
      <c r="G16" s="26"/>
      <c r="H16" s="16" t="s">
        <v>15</v>
      </c>
      <c r="I16" s="26">
        <v>7000</v>
      </c>
      <c r="J16" s="17">
        <v>6000</v>
      </c>
      <c r="K16" s="17">
        <f t="shared" si="0"/>
        <v>1800000</v>
      </c>
      <c r="L16" s="69">
        <f t="shared" si="1"/>
        <v>5600</v>
      </c>
    </row>
    <row r="17" spans="1:12" ht="267.75">
      <c r="A17" s="20">
        <v>13</v>
      </c>
      <c r="B17" s="21" t="s">
        <v>40</v>
      </c>
      <c r="C17" s="21" t="s">
        <v>41</v>
      </c>
      <c r="D17" s="21" t="s">
        <v>42</v>
      </c>
      <c r="E17" s="20" t="s">
        <v>13</v>
      </c>
      <c r="F17" s="16">
        <v>1500</v>
      </c>
      <c r="G17" s="16"/>
      <c r="H17" s="16" t="s">
        <v>15</v>
      </c>
      <c r="I17" s="16">
        <v>11000</v>
      </c>
      <c r="J17" s="17">
        <v>9500</v>
      </c>
      <c r="K17" s="17">
        <f t="shared" si="0"/>
        <v>14250000</v>
      </c>
      <c r="L17" s="69">
        <f t="shared" si="1"/>
        <v>8800</v>
      </c>
    </row>
    <row r="18" spans="1:12" ht="220.5">
      <c r="A18" s="20">
        <v>14</v>
      </c>
      <c r="B18" s="21" t="s">
        <v>43</v>
      </c>
      <c r="C18" s="21" t="s">
        <v>44</v>
      </c>
      <c r="D18" s="21" t="s">
        <v>45</v>
      </c>
      <c r="E18" s="20" t="s">
        <v>13</v>
      </c>
      <c r="F18" s="16">
        <v>140</v>
      </c>
      <c r="G18" s="16" t="s">
        <v>14</v>
      </c>
      <c r="H18" s="16" t="s">
        <v>15</v>
      </c>
      <c r="I18" s="16">
        <v>40000</v>
      </c>
      <c r="J18" s="17">
        <v>80000</v>
      </c>
      <c r="K18" s="17">
        <f t="shared" si="0"/>
        <v>11200000</v>
      </c>
      <c r="L18" s="69">
        <f t="shared" si="1"/>
        <v>32000</v>
      </c>
    </row>
    <row r="19" spans="1:12" ht="283.5">
      <c r="A19" s="20">
        <v>15</v>
      </c>
      <c r="B19" s="25" t="s">
        <v>46</v>
      </c>
      <c r="C19" s="21" t="s">
        <v>47</v>
      </c>
      <c r="D19" s="21" t="s">
        <v>48</v>
      </c>
      <c r="E19" s="20" t="s">
        <v>13</v>
      </c>
      <c r="F19" s="16">
        <v>50</v>
      </c>
      <c r="G19" s="16" t="s">
        <v>49</v>
      </c>
      <c r="H19" s="16" t="s">
        <v>50</v>
      </c>
      <c r="I19" s="16">
        <v>130000</v>
      </c>
      <c r="J19" s="17">
        <v>104000</v>
      </c>
      <c r="K19" s="17">
        <f t="shared" si="0"/>
        <v>5200000</v>
      </c>
      <c r="L19" s="69">
        <f t="shared" si="1"/>
        <v>104000</v>
      </c>
    </row>
    <row r="20" spans="1:12">
      <c r="A20" s="20">
        <v>16</v>
      </c>
      <c r="B20" s="21" t="s">
        <v>51</v>
      </c>
      <c r="C20" s="21" t="s">
        <v>52</v>
      </c>
      <c r="D20" s="21"/>
      <c r="E20" s="20" t="s">
        <v>53</v>
      </c>
      <c r="F20" s="16">
        <v>100</v>
      </c>
      <c r="G20" s="16" t="s">
        <v>54</v>
      </c>
      <c r="H20" s="16" t="s">
        <v>15</v>
      </c>
      <c r="I20" s="16">
        <v>25000</v>
      </c>
      <c r="J20" s="17">
        <v>20000</v>
      </c>
      <c r="K20" s="17">
        <f t="shared" si="0"/>
        <v>2000000</v>
      </c>
      <c r="L20" s="69">
        <f t="shared" si="1"/>
        <v>20000</v>
      </c>
    </row>
    <row r="21" spans="1:12">
      <c r="A21" s="20">
        <v>17</v>
      </c>
      <c r="B21" s="21" t="s">
        <v>55</v>
      </c>
      <c r="C21" s="21" t="s">
        <v>52</v>
      </c>
      <c r="D21" s="21"/>
      <c r="E21" s="20" t="s">
        <v>53</v>
      </c>
      <c r="F21" s="16">
        <v>109</v>
      </c>
      <c r="G21" s="16" t="s">
        <v>54</v>
      </c>
      <c r="H21" s="16" t="s">
        <v>15</v>
      </c>
      <c r="I21" s="16">
        <v>25000</v>
      </c>
      <c r="J21" s="17">
        <v>20000</v>
      </c>
      <c r="K21" s="17">
        <f t="shared" si="0"/>
        <v>2180000</v>
      </c>
      <c r="L21" s="69">
        <f t="shared" si="1"/>
        <v>20000</v>
      </c>
    </row>
    <row r="22" spans="1:12">
      <c r="A22" s="20">
        <v>18</v>
      </c>
      <c r="B22" s="21" t="s">
        <v>56</v>
      </c>
      <c r="C22" s="21" t="s">
        <v>57</v>
      </c>
      <c r="D22" s="21"/>
      <c r="E22" s="20" t="s">
        <v>53</v>
      </c>
      <c r="F22" s="16">
        <v>182</v>
      </c>
      <c r="G22" s="16" t="s">
        <v>54</v>
      </c>
      <c r="H22" s="16" t="s">
        <v>15</v>
      </c>
      <c r="I22" s="16">
        <v>26000</v>
      </c>
      <c r="J22" s="17">
        <v>20800</v>
      </c>
      <c r="K22" s="17">
        <f t="shared" si="0"/>
        <v>3785600</v>
      </c>
      <c r="L22" s="69">
        <f t="shared" si="1"/>
        <v>20800</v>
      </c>
    </row>
    <row r="23" spans="1:12">
      <c r="A23" s="20">
        <v>19</v>
      </c>
      <c r="B23" s="21" t="s">
        <v>58</v>
      </c>
      <c r="C23" s="21" t="s">
        <v>59</v>
      </c>
      <c r="D23" s="21"/>
      <c r="E23" s="20" t="s">
        <v>53</v>
      </c>
      <c r="F23" s="16">
        <v>132</v>
      </c>
      <c r="G23" s="16" t="s">
        <v>54</v>
      </c>
      <c r="H23" s="16" t="s">
        <v>15</v>
      </c>
      <c r="I23" s="16">
        <v>27000</v>
      </c>
      <c r="J23" s="17">
        <v>21600</v>
      </c>
      <c r="K23" s="17">
        <f t="shared" si="0"/>
        <v>2851200</v>
      </c>
      <c r="L23" s="69">
        <f t="shared" si="1"/>
        <v>21600</v>
      </c>
    </row>
    <row r="24" spans="1:12" s="11" customFormat="1">
      <c r="A24" s="20">
        <v>20</v>
      </c>
      <c r="B24" s="23" t="s">
        <v>60</v>
      </c>
      <c r="C24" s="25" t="s">
        <v>61</v>
      </c>
      <c r="D24" s="25"/>
      <c r="E24" s="28" t="s">
        <v>62</v>
      </c>
      <c r="F24" s="26">
        <v>8</v>
      </c>
      <c r="G24" s="16" t="s">
        <v>54</v>
      </c>
      <c r="H24" s="16" t="s">
        <v>15</v>
      </c>
      <c r="I24" s="26">
        <v>50000</v>
      </c>
      <c r="J24" s="17">
        <v>40000</v>
      </c>
      <c r="K24" s="17">
        <f t="shared" si="0"/>
        <v>320000</v>
      </c>
      <c r="L24" s="69">
        <f t="shared" si="1"/>
        <v>40000</v>
      </c>
    </row>
    <row r="25" spans="1:12">
      <c r="A25" s="20">
        <v>21</v>
      </c>
      <c r="B25" s="21" t="s">
        <v>63</v>
      </c>
      <c r="C25" s="21" t="s">
        <v>64</v>
      </c>
      <c r="D25" s="21"/>
      <c r="E25" s="20" t="s">
        <v>65</v>
      </c>
      <c r="F25" s="16">
        <v>10</v>
      </c>
      <c r="G25" s="16" t="s">
        <v>54</v>
      </c>
      <c r="H25" s="16" t="s">
        <v>15</v>
      </c>
      <c r="I25" s="16">
        <v>1100000</v>
      </c>
      <c r="J25" s="17">
        <v>880000</v>
      </c>
      <c r="K25" s="17">
        <f t="shared" si="0"/>
        <v>8800000</v>
      </c>
      <c r="L25" s="69">
        <f t="shared" si="1"/>
        <v>880000</v>
      </c>
    </row>
    <row r="26" spans="1:12">
      <c r="A26" s="20">
        <v>22</v>
      </c>
      <c r="B26" s="21" t="s">
        <v>66</v>
      </c>
      <c r="C26" s="21" t="s">
        <v>67</v>
      </c>
      <c r="D26" s="21"/>
      <c r="E26" s="20" t="s">
        <v>68</v>
      </c>
      <c r="F26" s="16">
        <v>10</v>
      </c>
      <c r="G26" s="16" t="s">
        <v>54</v>
      </c>
      <c r="H26" s="16" t="s">
        <v>15</v>
      </c>
      <c r="I26" s="16">
        <v>1700000</v>
      </c>
      <c r="J26" s="17">
        <v>1360000</v>
      </c>
      <c r="K26" s="17">
        <f t="shared" si="0"/>
        <v>13600000</v>
      </c>
      <c r="L26" s="69">
        <f t="shared" si="1"/>
        <v>1360000</v>
      </c>
    </row>
    <row r="27" spans="1:12" ht="110.25">
      <c r="A27" s="20">
        <v>23</v>
      </c>
      <c r="B27" s="21" t="s">
        <v>69</v>
      </c>
      <c r="C27" s="21" t="s">
        <v>70</v>
      </c>
      <c r="D27" s="21" t="s">
        <v>71</v>
      </c>
      <c r="E27" s="20" t="s">
        <v>68</v>
      </c>
      <c r="F27" s="16">
        <v>140</v>
      </c>
      <c r="G27" s="16" t="s">
        <v>72</v>
      </c>
      <c r="H27" s="16" t="s">
        <v>73</v>
      </c>
      <c r="I27" s="16">
        <v>60000</v>
      </c>
      <c r="J27" s="17">
        <v>48000</v>
      </c>
      <c r="K27" s="17">
        <f t="shared" si="0"/>
        <v>6720000</v>
      </c>
      <c r="L27" s="69">
        <f t="shared" si="1"/>
        <v>48000</v>
      </c>
    </row>
    <row r="28" spans="1:12" ht="110.25">
      <c r="A28" s="20">
        <v>24</v>
      </c>
      <c r="B28" s="21" t="s">
        <v>74</v>
      </c>
      <c r="C28" s="21" t="s">
        <v>75</v>
      </c>
      <c r="D28" s="21" t="s">
        <v>76</v>
      </c>
      <c r="E28" s="20" t="s">
        <v>68</v>
      </c>
      <c r="F28" s="16">
        <v>100</v>
      </c>
      <c r="G28" s="16" t="s">
        <v>72</v>
      </c>
      <c r="H28" s="16" t="s">
        <v>73</v>
      </c>
      <c r="I28" s="16">
        <v>35000</v>
      </c>
      <c r="J28" s="17">
        <v>28000</v>
      </c>
      <c r="K28" s="17">
        <f t="shared" si="0"/>
        <v>2800000</v>
      </c>
      <c r="L28" s="69">
        <f t="shared" si="1"/>
        <v>28000</v>
      </c>
    </row>
    <row r="29" spans="1:12" s="11" customFormat="1" ht="63">
      <c r="A29" s="20">
        <v>25</v>
      </c>
      <c r="B29" s="25" t="s">
        <v>77</v>
      </c>
      <c r="C29" s="25" t="s">
        <v>78</v>
      </c>
      <c r="D29" s="25" t="s">
        <v>79</v>
      </c>
      <c r="E29" s="28" t="s">
        <v>65</v>
      </c>
      <c r="F29" s="26">
        <v>110</v>
      </c>
      <c r="G29" s="26" t="s">
        <v>80</v>
      </c>
      <c r="H29" s="16" t="s">
        <v>81</v>
      </c>
      <c r="I29" s="26">
        <v>30000</v>
      </c>
      <c r="J29" s="17">
        <v>30000</v>
      </c>
      <c r="K29" s="17">
        <f t="shared" si="0"/>
        <v>3300000</v>
      </c>
      <c r="L29" s="69">
        <f t="shared" si="1"/>
        <v>24000</v>
      </c>
    </row>
    <row r="30" spans="1:12" s="11" customFormat="1">
      <c r="A30" s="20">
        <v>26</v>
      </c>
      <c r="B30" s="25" t="s">
        <v>82</v>
      </c>
      <c r="C30" s="25" t="s">
        <v>83</v>
      </c>
      <c r="D30" s="25"/>
      <c r="E30" s="28" t="s">
        <v>65</v>
      </c>
      <c r="F30" s="26">
        <v>30</v>
      </c>
      <c r="G30" s="26" t="s">
        <v>80</v>
      </c>
      <c r="H30" s="16" t="s">
        <v>81</v>
      </c>
      <c r="I30" s="26">
        <v>40000</v>
      </c>
      <c r="J30" s="17">
        <v>32000</v>
      </c>
      <c r="K30" s="17">
        <f t="shared" si="0"/>
        <v>960000</v>
      </c>
      <c r="L30" s="69">
        <f t="shared" si="1"/>
        <v>32000</v>
      </c>
    </row>
    <row r="31" spans="1:12" s="11" customFormat="1" ht="93.95" customHeight="1">
      <c r="A31" s="20">
        <v>27</v>
      </c>
      <c r="B31" s="21" t="s">
        <v>84</v>
      </c>
      <c r="C31" s="25" t="s">
        <v>85</v>
      </c>
      <c r="D31" s="20" t="s">
        <v>86</v>
      </c>
      <c r="E31" s="28" t="s">
        <v>68</v>
      </c>
      <c r="F31" s="26">
        <v>20</v>
      </c>
      <c r="G31" s="26" t="s">
        <v>87</v>
      </c>
      <c r="H31" s="16" t="s">
        <v>81</v>
      </c>
      <c r="I31" s="26">
        <v>40000</v>
      </c>
      <c r="J31" s="17">
        <v>32000</v>
      </c>
      <c r="K31" s="17">
        <f t="shared" si="0"/>
        <v>640000</v>
      </c>
      <c r="L31" s="69">
        <f t="shared" si="1"/>
        <v>32000</v>
      </c>
    </row>
    <row r="32" spans="1:12" s="11" customFormat="1" ht="20.25" customHeight="1">
      <c r="A32" s="20">
        <v>28</v>
      </c>
      <c r="B32" s="29" t="s">
        <v>88</v>
      </c>
      <c r="C32" s="25" t="s">
        <v>89</v>
      </c>
      <c r="D32" s="25" t="s">
        <v>90</v>
      </c>
      <c r="E32" s="28" t="s">
        <v>68</v>
      </c>
      <c r="F32" s="26">
        <v>60</v>
      </c>
      <c r="G32" s="26" t="s">
        <v>87</v>
      </c>
      <c r="H32" s="16" t="s">
        <v>81</v>
      </c>
      <c r="I32" s="26">
        <v>60000</v>
      </c>
      <c r="J32" s="17">
        <v>55000</v>
      </c>
      <c r="K32" s="17">
        <f t="shared" si="0"/>
        <v>3300000</v>
      </c>
      <c r="L32" s="69">
        <f t="shared" si="1"/>
        <v>48000</v>
      </c>
    </row>
    <row r="33" spans="1:12" s="11" customFormat="1" ht="189">
      <c r="A33" s="20">
        <v>29</v>
      </c>
      <c r="B33" s="29" t="s">
        <v>91</v>
      </c>
      <c r="C33" s="25" t="s">
        <v>92</v>
      </c>
      <c r="D33" s="25" t="s">
        <v>93</v>
      </c>
      <c r="E33" s="28" t="s">
        <v>68</v>
      </c>
      <c r="F33" s="26">
        <v>26</v>
      </c>
      <c r="G33" s="26" t="s">
        <v>80</v>
      </c>
      <c r="H33" s="16" t="s">
        <v>15</v>
      </c>
      <c r="I33" s="26">
        <v>60000</v>
      </c>
      <c r="J33" s="17">
        <v>60000</v>
      </c>
      <c r="K33" s="17">
        <f t="shared" si="0"/>
        <v>1560000</v>
      </c>
      <c r="L33" s="69">
        <f t="shared" si="1"/>
        <v>48000</v>
      </c>
    </row>
    <row r="34" spans="1:12" s="11" customFormat="1" ht="157.5">
      <c r="A34" s="20">
        <v>30</v>
      </c>
      <c r="B34" s="29" t="s">
        <v>94</v>
      </c>
      <c r="C34" s="25" t="s">
        <v>95</v>
      </c>
      <c r="D34" s="25" t="s">
        <v>96</v>
      </c>
      <c r="E34" s="28" t="s">
        <v>68</v>
      </c>
      <c r="F34" s="26">
        <v>26</v>
      </c>
      <c r="G34" s="26" t="s">
        <v>80</v>
      </c>
      <c r="H34" s="16" t="s">
        <v>15</v>
      </c>
      <c r="I34" s="26">
        <v>60000</v>
      </c>
      <c r="J34" s="17">
        <v>60000</v>
      </c>
      <c r="K34" s="17">
        <f t="shared" si="0"/>
        <v>1560000</v>
      </c>
      <c r="L34" s="69">
        <f t="shared" si="1"/>
        <v>48000</v>
      </c>
    </row>
    <row r="35" spans="1:12">
      <c r="A35" s="20">
        <v>31</v>
      </c>
      <c r="B35" s="21" t="s">
        <v>97</v>
      </c>
      <c r="C35" s="21" t="s">
        <v>98</v>
      </c>
      <c r="D35" s="21"/>
      <c r="E35" s="20" t="s">
        <v>68</v>
      </c>
      <c r="F35" s="16">
        <v>200</v>
      </c>
      <c r="G35" s="30" t="s">
        <v>1423</v>
      </c>
      <c r="H35" s="16" t="s">
        <v>1424</v>
      </c>
      <c r="I35" s="16">
        <v>80000</v>
      </c>
      <c r="J35" s="17">
        <v>55000</v>
      </c>
      <c r="K35" s="17">
        <f t="shared" si="0"/>
        <v>11000000</v>
      </c>
      <c r="L35" s="69">
        <f t="shared" si="1"/>
        <v>64000</v>
      </c>
    </row>
    <row r="36" spans="1:12">
      <c r="A36" s="20">
        <v>32</v>
      </c>
      <c r="B36" s="21" t="s">
        <v>100</v>
      </c>
      <c r="C36" s="21" t="s">
        <v>101</v>
      </c>
      <c r="D36" s="21"/>
      <c r="E36" s="20" t="s">
        <v>68</v>
      </c>
      <c r="F36" s="16">
        <v>200</v>
      </c>
      <c r="G36" s="30" t="s">
        <v>1423</v>
      </c>
      <c r="H36" s="16" t="s">
        <v>1424</v>
      </c>
      <c r="I36" s="16">
        <v>85000</v>
      </c>
      <c r="J36" s="17">
        <v>55000</v>
      </c>
      <c r="K36" s="17">
        <f t="shared" si="0"/>
        <v>11000000</v>
      </c>
      <c r="L36" s="69">
        <f t="shared" si="1"/>
        <v>68000</v>
      </c>
    </row>
    <row r="37" spans="1:12" s="11" customFormat="1">
      <c r="A37" s="20">
        <v>33</v>
      </c>
      <c r="B37" s="25" t="s">
        <v>102</v>
      </c>
      <c r="C37" s="25" t="s">
        <v>103</v>
      </c>
      <c r="D37" s="25"/>
      <c r="E37" s="28" t="s">
        <v>53</v>
      </c>
      <c r="F37" s="26">
        <v>20</v>
      </c>
      <c r="G37" s="26" t="s">
        <v>54</v>
      </c>
      <c r="H37" s="16" t="s">
        <v>15</v>
      </c>
      <c r="I37" s="26">
        <v>30000</v>
      </c>
      <c r="J37" s="17">
        <v>24000</v>
      </c>
      <c r="K37" s="17">
        <f t="shared" si="0"/>
        <v>480000</v>
      </c>
      <c r="L37" s="69">
        <f t="shared" si="1"/>
        <v>24000</v>
      </c>
    </row>
    <row r="38" spans="1:12" s="11" customFormat="1">
      <c r="A38" s="20">
        <v>34</v>
      </c>
      <c r="B38" s="23" t="s">
        <v>104</v>
      </c>
      <c r="C38" s="25" t="s">
        <v>105</v>
      </c>
      <c r="D38" s="25"/>
      <c r="E38" s="31" t="s">
        <v>62</v>
      </c>
      <c r="F38" s="26">
        <v>18</v>
      </c>
      <c r="G38" s="26" t="s">
        <v>54</v>
      </c>
      <c r="H38" s="16" t="s">
        <v>15</v>
      </c>
      <c r="I38" s="26">
        <v>35000</v>
      </c>
      <c r="J38" s="17">
        <v>28000</v>
      </c>
      <c r="K38" s="17">
        <f t="shared" si="0"/>
        <v>504000</v>
      </c>
      <c r="L38" s="69">
        <f t="shared" si="1"/>
        <v>28000</v>
      </c>
    </row>
    <row r="39" spans="1:12">
      <c r="A39" s="20">
        <v>35</v>
      </c>
      <c r="B39" s="21" t="s">
        <v>106</v>
      </c>
      <c r="C39" s="21" t="s">
        <v>107</v>
      </c>
      <c r="D39" s="21"/>
      <c r="E39" s="20" t="s">
        <v>53</v>
      </c>
      <c r="F39" s="16">
        <v>120</v>
      </c>
      <c r="G39" s="26" t="s">
        <v>54</v>
      </c>
      <c r="H39" s="16" t="s">
        <v>15</v>
      </c>
      <c r="I39" s="16">
        <v>40000</v>
      </c>
      <c r="J39" s="17">
        <v>32000</v>
      </c>
      <c r="K39" s="17">
        <f t="shared" si="0"/>
        <v>3840000</v>
      </c>
      <c r="L39" s="69">
        <f t="shared" si="1"/>
        <v>32000</v>
      </c>
    </row>
    <row r="40" spans="1:12">
      <c r="A40" s="20">
        <v>36</v>
      </c>
      <c r="B40" s="21" t="s">
        <v>108</v>
      </c>
      <c r="C40" s="21" t="s">
        <v>109</v>
      </c>
      <c r="D40" s="21"/>
      <c r="E40" s="20" t="s">
        <v>53</v>
      </c>
      <c r="F40" s="16">
        <v>100</v>
      </c>
      <c r="G40" s="26" t="s">
        <v>54</v>
      </c>
      <c r="H40" s="16" t="s">
        <v>15</v>
      </c>
      <c r="I40" s="16">
        <v>45000</v>
      </c>
      <c r="J40" s="17">
        <v>36000</v>
      </c>
      <c r="K40" s="17">
        <f t="shared" si="0"/>
        <v>3600000</v>
      </c>
      <c r="L40" s="69">
        <f t="shared" si="1"/>
        <v>36000</v>
      </c>
    </row>
    <row r="41" spans="1:12" s="11" customFormat="1">
      <c r="A41" s="20">
        <v>37</v>
      </c>
      <c r="B41" s="25" t="s">
        <v>110</v>
      </c>
      <c r="C41" s="25" t="s">
        <v>111</v>
      </c>
      <c r="D41" s="25"/>
      <c r="E41" s="28" t="s">
        <v>53</v>
      </c>
      <c r="F41" s="26">
        <v>20</v>
      </c>
      <c r="G41" s="26" t="s">
        <v>54</v>
      </c>
      <c r="H41" s="16" t="s">
        <v>15</v>
      </c>
      <c r="I41" s="26">
        <v>50000</v>
      </c>
      <c r="J41" s="17">
        <v>40000</v>
      </c>
      <c r="K41" s="17">
        <f t="shared" si="0"/>
        <v>800000</v>
      </c>
      <c r="L41" s="69">
        <f t="shared" si="1"/>
        <v>40000</v>
      </c>
    </row>
    <row r="42" spans="1:12">
      <c r="A42" s="20">
        <v>38</v>
      </c>
      <c r="B42" s="21" t="s">
        <v>112</v>
      </c>
      <c r="C42" s="21" t="s">
        <v>113</v>
      </c>
      <c r="D42" s="21"/>
      <c r="E42" s="20" t="s">
        <v>68</v>
      </c>
      <c r="F42" s="16">
        <v>100</v>
      </c>
      <c r="G42" s="16" t="s">
        <v>114</v>
      </c>
      <c r="H42" s="16" t="s">
        <v>73</v>
      </c>
      <c r="I42" s="16">
        <v>150000</v>
      </c>
      <c r="J42" s="17">
        <v>120000</v>
      </c>
      <c r="K42" s="17">
        <f t="shared" si="0"/>
        <v>12000000</v>
      </c>
      <c r="L42" s="69">
        <f t="shared" si="1"/>
        <v>120000</v>
      </c>
    </row>
    <row r="43" spans="1:12" s="11" customFormat="1">
      <c r="A43" s="20">
        <v>39</v>
      </c>
      <c r="B43" s="32" t="s">
        <v>115</v>
      </c>
      <c r="C43" s="25" t="s">
        <v>116</v>
      </c>
      <c r="D43" s="25"/>
      <c r="E43" s="20" t="s">
        <v>68</v>
      </c>
      <c r="F43" s="26">
        <v>35</v>
      </c>
      <c r="G43" s="26" t="s">
        <v>99</v>
      </c>
      <c r="H43" s="16" t="s">
        <v>50</v>
      </c>
      <c r="I43" s="26">
        <v>150000</v>
      </c>
      <c r="J43" s="17">
        <v>160000</v>
      </c>
      <c r="K43" s="17">
        <f t="shared" si="0"/>
        <v>5600000</v>
      </c>
      <c r="L43" s="69">
        <f t="shared" si="1"/>
        <v>120000</v>
      </c>
    </row>
    <row r="44" spans="1:12" s="11" customFormat="1">
      <c r="A44" s="20">
        <v>40</v>
      </c>
      <c r="B44" s="32" t="s">
        <v>117</v>
      </c>
      <c r="C44" s="25" t="s">
        <v>118</v>
      </c>
      <c r="D44" s="25"/>
      <c r="E44" s="20" t="s">
        <v>68</v>
      </c>
      <c r="F44" s="26">
        <v>25</v>
      </c>
      <c r="G44" s="26" t="s">
        <v>99</v>
      </c>
      <c r="H44" s="16" t="s">
        <v>50</v>
      </c>
      <c r="I44" s="26">
        <v>240000</v>
      </c>
      <c r="J44" s="17">
        <v>192000</v>
      </c>
      <c r="K44" s="17">
        <f t="shared" si="0"/>
        <v>4800000</v>
      </c>
      <c r="L44" s="69">
        <f t="shared" si="1"/>
        <v>192000</v>
      </c>
    </row>
    <row r="45" spans="1:12" s="11" customFormat="1" ht="63">
      <c r="A45" s="20">
        <v>41</v>
      </c>
      <c r="B45" s="21" t="s">
        <v>119</v>
      </c>
      <c r="C45" s="25" t="s">
        <v>120</v>
      </c>
      <c r="D45" s="25"/>
      <c r="E45" s="28" t="s">
        <v>68</v>
      </c>
      <c r="F45" s="26">
        <v>4</v>
      </c>
      <c r="G45" s="26" t="s">
        <v>72</v>
      </c>
      <c r="H45" s="16" t="s">
        <v>73</v>
      </c>
      <c r="I45" s="26">
        <v>550000</v>
      </c>
      <c r="J45" s="17">
        <v>440000</v>
      </c>
      <c r="K45" s="17">
        <f t="shared" si="0"/>
        <v>1760000</v>
      </c>
      <c r="L45" s="69">
        <f t="shared" si="1"/>
        <v>440000</v>
      </c>
    </row>
    <row r="46" spans="1:12" s="11" customFormat="1" ht="220.5">
      <c r="A46" s="20">
        <v>42</v>
      </c>
      <c r="B46" s="21" t="s">
        <v>121</v>
      </c>
      <c r="C46" s="25" t="s">
        <v>122</v>
      </c>
      <c r="D46" s="25" t="s">
        <v>123</v>
      </c>
      <c r="E46" s="28" t="s">
        <v>68</v>
      </c>
      <c r="F46" s="26">
        <v>4</v>
      </c>
      <c r="G46" s="26" t="s">
        <v>124</v>
      </c>
      <c r="H46" s="16" t="s">
        <v>15</v>
      </c>
      <c r="I46" s="26">
        <v>810000</v>
      </c>
      <c r="J46" s="17">
        <v>680000</v>
      </c>
      <c r="K46" s="17">
        <f t="shared" si="0"/>
        <v>2720000</v>
      </c>
      <c r="L46" s="69">
        <f t="shared" si="1"/>
        <v>648000</v>
      </c>
    </row>
    <row r="47" spans="1:12" s="11" customFormat="1" ht="94.5">
      <c r="A47" s="20">
        <v>43</v>
      </c>
      <c r="B47" s="21" t="s">
        <v>125</v>
      </c>
      <c r="C47" s="25" t="s">
        <v>126</v>
      </c>
      <c r="D47" s="25" t="s">
        <v>127</v>
      </c>
      <c r="E47" s="28" t="s">
        <v>68</v>
      </c>
      <c r="F47" s="26">
        <v>4</v>
      </c>
      <c r="G47" s="26" t="s">
        <v>124</v>
      </c>
      <c r="H47" s="16" t="s">
        <v>15</v>
      </c>
      <c r="I47" s="26">
        <v>720000</v>
      </c>
      <c r="J47" s="17">
        <v>576000</v>
      </c>
      <c r="K47" s="17">
        <f t="shared" si="0"/>
        <v>2304000</v>
      </c>
      <c r="L47" s="69">
        <f t="shared" si="1"/>
        <v>576000</v>
      </c>
    </row>
    <row r="48" spans="1:12" s="11" customFormat="1" ht="157.5">
      <c r="A48" s="20">
        <v>44</v>
      </c>
      <c r="B48" s="21" t="s">
        <v>128</v>
      </c>
      <c r="C48" s="25" t="s">
        <v>129</v>
      </c>
      <c r="D48" s="25" t="s">
        <v>130</v>
      </c>
      <c r="E48" s="28" t="s">
        <v>68</v>
      </c>
      <c r="F48" s="26">
        <v>19</v>
      </c>
      <c r="G48" s="26" t="s">
        <v>124</v>
      </c>
      <c r="H48" s="16" t="s">
        <v>15</v>
      </c>
      <c r="I48" s="26">
        <v>505000</v>
      </c>
      <c r="J48" s="17">
        <v>404000</v>
      </c>
      <c r="K48" s="17">
        <f t="shared" si="0"/>
        <v>7676000</v>
      </c>
      <c r="L48" s="69">
        <f t="shared" si="1"/>
        <v>404000</v>
      </c>
    </row>
    <row r="49" spans="1:12" s="11" customFormat="1" ht="110.25">
      <c r="A49" s="20">
        <v>45</v>
      </c>
      <c r="B49" s="21" t="s">
        <v>131</v>
      </c>
      <c r="C49" s="25" t="s">
        <v>132</v>
      </c>
      <c r="D49" s="25" t="s">
        <v>133</v>
      </c>
      <c r="E49" s="28" t="s">
        <v>68</v>
      </c>
      <c r="F49" s="26">
        <v>38</v>
      </c>
      <c r="G49" s="26" t="s">
        <v>54</v>
      </c>
      <c r="H49" s="16" t="s">
        <v>134</v>
      </c>
      <c r="I49" s="26">
        <v>125000</v>
      </c>
      <c r="J49" s="17">
        <v>100000</v>
      </c>
      <c r="K49" s="17">
        <f t="shared" si="0"/>
        <v>3800000</v>
      </c>
      <c r="L49" s="69">
        <f t="shared" si="1"/>
        <v>100000</v>
      </c>
    </row>
    <row r="50" spans="1:12" ht="157.5">
      <c r="A50" s="20">
        <v>46</v>
      </c>
      <c r="B50" s="21" t="s">
        <v>135</v>
      </c>
      <c r="C50" s="21" t="s">
        <v>136</v>
      </c>
      <c r="D50" s="21" t="s">
        <v>137</v>
      </c>
      <c r="E50" s="20" t="s">
        <v>68</v>
      </c>
      <c r="F50" s="16">
        <v>10</v>
      </c>
      <c r="G50" s="16" t="s">
        <v>138</v>
      </c>
      <c r="H50" s="16" t="s">
        <v>134</v>
      </c>
      <c r="I50" s="16">
        <v>2600000</v>
      </c>
      <c r="J50" s="17">
        <v>2510000</v>
      </c>
      <c r="K50" s="17">
        <f t="shared" si="0"/>
        <v>25100000</v>
      </c>
      <c r="L50" s="69">
        <f t="shared" si="1"/>
        <v>2080000</v>
      </c>
    </row>
    <row r="51" spans="1:12" ht="110.25">
      <c r="A51" s="20">
        <v>47</v>
      </c>
      <c r="B51" s="21" t="s">
        <v>139</v>
      </c>
      <c r="C51" s="21" t="s">
        <v>140</v>
      </c>
      <c r="D51" s="21" t="s">
        <v>141</v>
      </c>
      <c r="E51" s="20" t="s">
        <v>68</v>
      </c>
      <c r="F51" s="16">
        <v>10</v>
      </c>
      <c r="G51" s="16" t="s">
        <v>142</v>
      </c>
      <c r="H51" s="16" t="s">
        <v>143</v>
      </c>
      <c r="I51" s="16">
        <v>130000</v>
      </c>
      <c r="J51" s="17">
        <v>104000</v>
      </c>
      <c r="K51" s="17">
        <f t="shared" si="0"/>
        <v>1040000</v>
      </c>
      <c r="L51" s="69">
        <f t="shared" si="1"/>
        <v>104000</v>
      </c>
    </row>
    <row r="52" spans="1:12" ht="157.5">
      <c r="A52" s="20">
        <v>48</v>
      </c>
      <c r="B52" s="21" t="s">
        <v>144</v>
      </c>
      <c r="C52" s="21" t="s">
        <v>145</v>
      </c>
      <c r="D52" s="21" t="s">
        <v>146</v>
      </c>
      <c r="E52" s="20" t="s">
        <v>68</v>
      </c>
      <c r="F52" s="16">
        <v>45</v>
      </c>
      <c r="G52" s="16" t="s">
        <v>124</v>
      </c>
      <c r="H52" s="16" t="s">
        <v>15</v>
      </c>
      <c r="I52" s="16">
        <v>470000</v>
      </c>
      <c r="J52" s="17">
        <v>376000</v>
      </c>
      <c r="K52" s="17">
        <f t="shared" si="0"/>
        <v>16920000</v>
      </c>
      <c r="L52" s="69">
        <f t="shared" si="1"/>
        <v>376000</v>
      </c>
    </row>
    <row r="53" spans="1:12" s="11" customFormat="1" ht="31.5">
      <c r="A53" s="20">
        <v>49</v>
      </c>
      <c r="B53" s="24" t="s">
        <v>147</v>
      </c>
      <c r="C53" s="25" t="s">
        <v>145</v>
      </c>
      <c r="D53" s="25"/>
      <c r="E53" s="28" t="s">
        <v>68</v>
      </c>
      <c r="F53" s="26">
        <v>35</v>
      </c>
      <c r="G53" s="16" t="s">
        <v>124</v>
      </c>
      <c r="H53" s="16" t="s">
        <v>15</v>
      </c>
      <c r="I53" s="16">
        <v>470000</v>
      </c>
      <c r="J53" s="17">
        <v>376000</v>
      </c>
      <c r="K53" s="17">
        <f t="shared" si="0"/>
        <v>13160000</v>
      </c>
      <c r="L53" s="69">
        <f t="shared" si="1"/>
        <v>376000</v>
      </c>
    </row>
    <row r="54" spans="1:12" s="11" customFormat="1" ht="126">
      <c r="A54" s="20">
        <v>50</v>
      </c>
      <c r="B54" s="24" t="s">
        <v>148</v>
      </c>
      <c r="C54" s="25" t="s">
        <v>149</v>
      </c>
      <c r="D54" s="25" t="s">
        <v>150</v>
      </c>
      <c r="E54" s="28" t="s">
        <v>68</v>
      </c>
      <c r="F54" s="26">
        <v>13</v>
      </c>
      <c r="G54" s="26" t="s">
        <v>54</v>
      </c>
      <c r="H54" s="16" t="s">
        <v>15</v>
      </c>
      <c r="I54" s="26">
        <v>80000</v>
      </c>
      <c r="J54" s="17">
        <v>64000</v>
      </c>
      <c r="K54" s="17">
        <f t="shared" si="0"/>
        <v>832000</v>
      </c>
      <c r="L54" s="69">
        <f t="shared" si="1"/>
        <v>64000</v>
      </c>
    </row>
    <row r="55" spans="1:12" s="11" customFormat="1" ht="110.25">
      <c r="A55" s="20">
        <v>51</v>
      </c>
      <c r="B55" s="24" t="s">
        <v>151</v>
      </c>
      <c r="C55" s="25" t="s">
        <v>149</v>
      </c>
      <c r="D55" s="25" t="s">
        <v>152</v>
      </c>
      <c r="E55" s="28" t="s">
        <v>68</v>
      </c>
      <c r="F55" s="26">
        <v>13</v>
      </c>
      <c r="G55" s="26" t="s">
        <v>54</v>
      </c>
      <c r="H55" s="16" t="s">
        <v>15</v>
      </c>
      <c r="I55" s="26">
        <v>85000</v>
      </c>
      <c r="J55" s="17">
        <v>68000</v>
      </c>
      <c r="K55" s="17">
        <f t="shared" si="0"/>
        <v>884000</v>
      </c>
      <c r="L55" s="69">
        <f t="shared" si="1"/>
        <v>68000</v>
      </c>
    </row>
    <row r="56" spans="1:12" s="11" customFormat="1" ht="78.75">
      <c r="A56" s="20">
        <v>52</v>
      </c>
      <c r="B56" s="25" t="s">
        <v>153</v>
      </c>
      <c r="C56" s="25" t="s">
        <v>154</v>
      </c>
      <c r="D56" s="25" t="s">
        <v>155</v>
      </c>
      <c r="E56" s="28" t="s">
        <v>156</v>
      </c>
      <c r="F56" s="26">
        <v>12</v>
      </c>
      <c r="G56" s="26" t="s">
        <v>54</v>
      </c>
      <c r="H56" s="16" t="s">
        <v>15</v>
      </c>
      <c r="I56" s="26">
        <v>60000</v>
      </c>
      <c r="J56" s="17">
        <v>48000</v>
      </c>
      <c r="K56" s="17">
        <f t="shared" si="0"/>
        <v>576000</v>
      </c>
      <c r="L56" s="69">
        <f t="shared" si="1"/>
        <v>48000</v>
      </c>
    </row>
    <row r="57" spans="1:12" s="11" customFormat="1" ht="173.25">
      <c r="A57" s="20">
        <v>53</v>
      </c>
      <c r="B57" s="25" t="s">
        <v>157</v>
      </c>
      <c r="C57" s="25" t="s">
        <v>158</v>
      </c>
      <c r="D57" s="25" t="s">
        <v>159</v>
      </c>
      <c r="E57" s="28" t="s">
        <v>156</v>
      </c>
      <c r="F57" s="26">
        <v>12</v>
      </c>
      <c r="G57" s="26" t="s">
        <v>138</v>
      </c>
      <c r="H57" s="16" t="s">
        <v>160</v>
      </c>
      <c r="I57" s="26">
        <v>850000</v>
      </c>
      <c r="J57" s="17">
        <v>680000</v>
      </c>
      <c r="K57" s="17">
        <f t="shared" si="0"/>
        <v>8160000</v>
      </c>
      <c r="L57" s="69">
        <f t="shared" si="1"/>
        <v>680000</v>
      </c>
    </row>
    <row r="58" spans="1:12" ht="47.25">
      <c r="A58" s="20">
        <v>54</v>
      </c>
      <c r="B58" s="21" t="s">
        <v>161</v>
      </c>
      <c r="C58" s="21" t="s">
        <v>162</v>
      </c>
      <c r="D58" s="21" t="s">
        <v>163</v>
      </c>
      <c r="E58" s="20" t="s">
        <v>68</v>
      </c>
      <c r="F58" s="16">
        <v>10</v>
      </c>
      <c r="G58" s="16" t="s">
        <v>124</v>
      </c>
      <c r="H58" s="16" t="s">
        <v>15</v>
      </c>
      <c r="I58" s="16">
        <v>482000</v>
      </c>
      <c r="J58" s="17">
        <v>385600</v>
      </c>
      <c r="K58" s="17">
        <f t="shared" si="0"/>
        <v>3856000</v>
      </c>
      <c r="L58" s="69">
        <f t="shared" si="1"/>
        <v>385600</v>
      </c>
    </row>
    <row r="59" spans="1:12" ht="126">
      <c r="A59" s="20">
        <v>55</v>
      </c>
      <c r="B59" s="21" t="s">
        <v>164</v>
      </c>
      <c r="C59" s="21" t="s">
        <v>165</v>
      </c>
      <c r="D59" s="21" t="s">
        <v>166</v>
      </c>
      <c r="E59" s="20" t="s">
        <v>167</v>
      </c>
      <c r="F59" s="16">
        <v>10</v>
      </c>
      <c r="G59" s="16" t="s">
        <v>124</v>
      </c>
      <c r="H59" s="16" t="s">
        <v>15</v>
      </c>
      <c r="I59" s="16">
        <v>811000</v>
      </c>
      <c r="J59" s="17">
        <v>648800</v>
      </c>
      <c r="K59" s="17">
        <f t="shared" si="0"/>
        <v>6488000</v>
      </c>
      <c r="L59" s="69">
        <f t="shared" si="1"/>
        <v>648800</v>
      </c>
    </row>
    <row r="60" spans="1:12" ht="409.5">
      <c r="A60" s="20">
        <v>56</v>
      </c>
      <c r="B60" s="21" t="s">
        <v>168</v>
      </c>
      <c r="C60" s="21" t="s">
        <v>169</v>
      </c>
      <c r="D60" s="21" t="s">
        <v>170</v>
      </c>
      <c r="E60" s="20" t="s">
        <v>167</v>
      </c>
      <c r="F60" s="16">
        <v>10</v>
      </c>
      <c r="G60" s="16" t="s">
        <v>171</v>
      </c>
      <c r="H60" s="16" t="s">
        <v>160</v>
      </c>
      <c r="I60" s="16">
        <v>110000</v>
      </c>
      <c r="J60" s="17">
        <v>110000</v>
      </c>
      <c r="K60" s="17">
        <f t="shared" si="0"/>
        <v>1100000</v>
      </c>
      <c r="L60" s="69">
        <f t="shared" si="1"/>
        <v>88000</v>
      </c>
    </row>
    <row r="61" spans="1:12" s="11" customFormat="1" ht="157.5">
      <c r="A61" s="20">
        <v>57</v>
      </c>
      <c r="B61" s="24" t="s">
        <v>172</v>
      </c>
      <c r="C61" s="25" t="s">
        <v>145</v>
      </c>
      <c r="D61" s="25" t="s">
        <v>146</v>
      </c>
      <c r="E61" s="28" t="s">
        <v>68</v>
      </c>
      <c r="F61" s="26">
        <v>35</v>
      </c>
      <c r="G61" s="16" t="s">
        <v>124</v>
      </c>
      <c r="H61" s="16" t="s">
        <v>15</v>
      </c>
      <c r="I61" s="16">
        <v>470000</v>
      </c>
      <c r="J61" s="17">
        <v>376000</v>
      </c>
      <c r="K61" s="17">
        <f t="shared" si="0"/>
        <v>13160000</v>
      </c>
      <c r="L61" s="69">
        <f t="shared" si="1"/>
        <v>376000</v>
      </c>
    </row>
    <row r="62" spans="1:12" ht="236.25">
      <c r="A62" s="20">
        <v>58</v>
      </c>
      <c r="B62" s="21" t="s">
        <v>173</v>
      </c>
      <c r="C62" s="21" t="s">
        <v>174</v>
      </c>
      <c r="D62" s="21" t="s">
        <v>175</v>
      </c>
      <c r="E62" s="20" t="s">
        <v>167</v>
      </c>
      <c r="F62" s="16">
        <v>61</v>
      </c>
      <c r="G62" s="16" t="s">
        <v>124</v>
      </c>
      <c r="H62" s="16" t="s">
        <v>15</v>
      </c>
      <c r="I62" s="16">
        <v>950000</v>
      </c>
      <c r="J62" s="17">
        <v>760000</v>
      </c>
      <c r="K62" s="17">
        <f t="shared" si="0"/>
        <v>46360000</v>
      </c>
      <c r="L62" s="69">
        <f t="shared" si="1"/>
        <v>760000</v>
      </c>
    </row>
    <row r="63" spans="1:12" ht="283.5">
      <c r="A63" s="20">
        <v>59</v>
      </c>
      <c r="B63" s="21" t="s">
        <v>176</v>
      </c>
      <c r="C63" s="21" t="s">
        <v>177</v>
      </c>
      <c r="D63" s="21" t="s">
        <v>178</v>
      </c>
      <c r="E63" s="20" t="s">
        <v>68</v>
      </c>
      <c r="F63" s="16">
        <v>10</v>
      </c>
      <c r="G63" s="16" t="s">
        <v>124</v>
      </c>
      <c r="H63" s="16" t="s">
        <v>15</v>
      </c>
      <c r="I63" s="16">
        <v>1658000</v>
      </c>
      <c r="J63" s="17">
        <v>1326400</v>
      </c>
      <c r="K63" s="17">
        <f t="shared" si="0"/>
        <v>13264000</v>
      </c>
      <c r="L63" s="69">
        <f t="shared" si="1"/>
        <v>1326400</v>
      </c>
    </row>
    <row r="64" spans="1:12" s="11" customFormat="1" ht="106.5" customHeight="1">
      <c r="A64" s="20">
        <v>60</v>
      </c>
      <c r="B64" s="25" t="s">
        <v>179</v>
      </c>
      <c r="C64" s="21"/>
      <c r="D64" s="21" t="s">
        <v>180</v>
      </c>
      <c r="E64" s="28" t="s">
        <v>167</v>
      </c>
      <c r="F64" s="26">
        <v>10</v>
      </c>
      <c r="G64" s="26" t="s">
        <v>181</v>
      </c>
      <c r="H64" s="16" t="s">
        <v>15</v>
      </c>
      <c r="I64" s="26">
        <v>240000</v>
      </c>
      <c r="J64" s="17">
        <v>192000</v>
      </c>
      <c r="K64" s="17">
        <f t="shared" si="0"/>
        <v>1920000</v>
      </c>
      <c r="L64" s="69">
        <f t="shared" si="1"/>
        <v>192000</v>
      </c>
    </row>
    <row r="65" spans="1:12" s="11" customFormat="1" ht="283.5">
      <c r="A65" s="20">
        <v>61</v>
      </c>
      <c r="B65" s="25" t="s">
        <v>182</v>
      </c>
      <c r="C65" s="25" t="s">
        <v>183</v>
      </c>
      <c r="D65" s="25" t="s">
        <v>184</v>
      </c>
      <c r="E65" s="28" t="s">
        <v>68</v>
      </c>
      <c r="F65" s="26">
        <v>24</v>
      </c>
      <c r="G65" s="26" t="s">
        <v>185</v>
      </c>
      <c r="H65" s="16" t="s">
        <v>81</v>
      </c>
      <c r="I65" s="26">
        <v>135000</v>
      </c>
      <c r="J65" s="17">
        <v>135000</v>
      </c>
      <c r="K65" s="17">
        <f t="shared" si="0"/>
        <v>3240000</v>
      </c>
      <c r="L65" s="69">
        <f t="shared" si="1"/>
        <v>108000</v>
      </c>
    </row>
    <row r="66" spans="1:12" ht="31.5">
      <c r="A66" s="20">
        <v>62</v>
      </c>
      <c r="B66" s="21" t="s">
        <v>186</v>
      </c>
      <c r="C66" s="21" t="s">
        <v>187</v>
      </c>
      <c r="D66" s="21"/>
      <c r="E66" s="20" t="s">
        <v>68</v>
      </c>
      <c r="F66" s="16">
        <v>20</v>
      </c>
      <c r="G66" s="16" t="s">
        <v>188</v>
      </c>
      <c r="H66" s="16" t="s">
        <v>73</v>
      </c>
      <c r="I66" s="16">
        <v>195000</v>
      </c>
      <c r="J66" s="17">
        <v>156000</v>
      </c>
      <c r="K66" s="17">
        <f t="shared" si="0"/>
        <v>3120000</v>
      </c>
      <c r="L66" s="69">
        <f t="shared" si="1"/>
        <v>156000</v>
      </c>
    </row>
    <row r="67" spans="1:12" s="11" customFormat="1" ht="173.25">
      <c r="A67" s="20">
        <v>63</v>
      </c>
      <c r="B67" s="32" t="s">
        <v>189</v>
      </c>
      <c r="C67" s="25" t="s">
        <v>190</v>
      </c>
      <c r="D67" s="25" t="s">
        <v>191</v>
      </c>
      <c r="E67" s="33" t="s">
        <v>192</v>
      </c>
      <c r="F67" s="26">
        <v>21</v>
      </c>
      <c r="G67" s="26" t="s">
        <v>142</v>
      </c>
      <c r="H67" s="16" t="s">
        <v>81</v>
      </c>
      <c r="I67" s="26">
        <v>470000</v>
      </c>
      <c r="J67" s="17">
        <v>470000</v>
      </c>
      <c r="K67" s="17">
        <f t="shared" si="0"/>
        <v>9870000</v>
      </c>
      <c r="L67" s="69">
        <f t="shared" si="1"/>
        <v>376000</v>
      </c>
    </row>
    <row r="68" spans="1:12" ht="126">
      <c r="A68" s="20">
        <v>64</v>
      </c>
      <c r="B68" s="21" t="s">
        <v>193</v>
      </c>
      <c r="C68" s="21" t="s">
        <v>194</v>
      </c>
      <c r="D68" s="21" t="s">
        <v>195</v>
      </c>
      <c r="E68" s="20" t="s">
        <v>68</v>
      </c>
      <c r="F68" s="16">
        <v>10</v>
      </c>
      <c r="G68" s="16" t="s">
        <v>54</v>
      </c>
      <c r="H68" s="16" t="s">
        <v>15</v>
      </c>
      <c r="I68" s="16">
        <v>145000</v>
      </c>
      <c r="J68" s="17">
        <v>116000</v>
      </c>
      <c r="K68" s="17">
        <f t="shared" si="0"/>
        <v>1160000</v>
      </c>
      <c r="L68" s="69">
        <f t="shared" si="1"/>
        <v>116000</v>
      </c>
    </row>
    <row r="69" spans="1:12" s="11" customFormat="1" ht="110.25">
      <c r="A69" s="20">
        <v>65</v>
      </c>
      <c r="B69" s="25" t="s">
        <v>196</v>
      </c>
      <c r="C69" s="25" t="s">
        <v>197</v>
      </c>
      <c r="D69" s="25" t="s">
        <v>198</v>
      </c>
      <c r="E69" s="31" t="s">
        <v>68</v>
      </c>
      <c r="F69" s="26">
        <v>32</v>
      </c>
      <c r="G69" s="26" t="s">
        <v>54</v>
      </c>
      <c r="H69" s="16" t="s">
        <v>15</v>
      </c>
      <c r="I69" s="26">
        <v>20000</v>
      </c>
      <c r="J69" s="17">
        <v>16000</v>
      </c>
      <c r="K69" s="17">
        <f t="shared" ref="K69:K132" si="2">F69*J69</f>
        <v>512000</v>
      </c>
      <c r="L69" s="69">
        <f t="shared" si="1"/>
        <v>16000</v>
      </c>
    </row>
    <row r="70" spans="1:12" s="11" customFormat="1" ht="110.25">
      <c r="A70" s="20">
        <v>66</v>
      </c>
      <c r="B70" s="25" t="s">
        <v>199</v>
      </c>
      <c r="C70" s="25" t="s">
        <v>200</v>
      </c>
      <c r="D70" s="25" t="s">
        <v>201</v>
      </c>
      <c r="E70" s="31" t="s">
        <v>68</v>
      </c>
      <c r="F70" s="26">
        <v>32</v>
      </c>
      <c r="G70" s="26" t="s">
        <v>54</v>
      </c>
      <c r="H70" s="16" t="s">
        <v>15</v>
      </c>
      <c r="I70" s="26">
        <v>10000</v>
      </c>
      <c r="J70" s="17">
        <v>8000</v>
      </c>
      <c r="K70" s="17">
        <f t="shared" si="2"/>
        <v>256000</v>
      </c>
      <c r="L70" s="69">
        <f t="shared" ref="L70:L133" si="3">I70*80%</f>
        <v>8000</v>
      </c>
    </row>
    <row r="71" spans="1:12" s="11" customFormat="1" ht="126">
      <c r="A71" s="20">
        <v>67</v>
      </c>
      <c r="B71" s="25" t="s">
        <v>202</v>
      </c>
      <c r="C71" s="25" t="s">
        <v>203</v>
      </c>
      <c r="D71" s="25" t="s">
        <v>204</v>
      </c>
      <c r="E71" s="31" t="s">
        <v>68</v>
      </c>
      <c r="F71" s="26">
        <v>16</v>
      </c>
      <c r="G71" s="26" t="s">
        <v>54</v>
      </c>
      <c r="H71" s="16" t="s">
        <v>15</v>
      </c>
      <c r="I71" s="26">
        <v>30000</v>
      </c>
      <c r="J71" s="17">
        <v>24000</v>
      </c>
      <c r="K71" s="17">
        <f t="shared" si="2"/>
        <v>384000</v>
      </c>
      <c r="L71" s="69">
        <f t="shared" si="3"/>
        <v>24000</v>
      </c>
    </row>
    <row r="72" spans="1:12" s="11" customFormat="1" ht="78.75">
      <c r="A72" s="20">
        <v>68</v>
      </c>
      <c r="B72" s="25" t="s">
        <v>205</v>
      </c>
      <c r="C72" s="25" t="s">
        <v>206</v>
      </c>
      <c r="D72" s="25" t="s">
        <v>207</v>
      </c>
      <c r="E72" s="31" t="s">
        <v>68</v>
      </c>
      <c r="F72" s="26">
        <v>8</v>
      </c>
      <c r="G72" s="26" t="s">
        <v>72</v>
      </c>
      <c r="H72" s="16" t="s">
        <v>15</v>
      </c>
      <c r="I72" s="26">
        <v>215000</v>
      </c>
      <c r="J72" s="17">
        <v>172000</v>
      </c>
      <c r="K72" s="17">
        <f t="shared" si="2"/>
        <v>1376000</v>
      </c>
      <c r="L72" s="69">
        <f t="shared" si="3"/>
        <v>172000</v>
      </c>
    </row>
    <row r="73" spans="1:12">
      <c r="A73" s="20">
        <v>69</v>
      </c>
      <c r="B73" s="21" t="s">
        <v>208</v>
      </c>
      <c r="C73" s="21" t="s">
        <v>209</v>
      </c>
      <c r="D73" s="21"/>
      <c r="E73" s="20" t="s">
        <v>68</v>
      </c>
      <c r="F73" s="16">
        <v>40</v>
      </c>
      <c r="G73" s="16" t="s">
        <v>54</v>
      </c>
      <c r="H73" s="16" t="s">
        <v>15</v>
      </c>
      <c r="I73" s="16">
        <v>15000</v>
      </c>
      <c r="J73" s="17">
        <v>12000</v>
      </c>
      <c r="K73" s="17">
        <f t="shared" si="2"/>
        <v>480000</v>
      </c>
      <c r="L73" s="69">
        <f t="shared" si="3"/>
        <v>12000</v>
      </c>
    </row>
    <row r="74" spans="1:12">
      <c r="A74" s="20">
        <v>70</v>
      </c>
      <c r="B74" s="21" t="s">
        <v>210</v>
      </c>
      <c r="C74" s="21" t="s">
        <v>211</v>
      </c>
      <c r="D74" s="21"/>
      <c r="E74" s="20" t="s">
        <v>68</v>
      </c>
      <c r="F74" s="16">
        <v>40</v>
      </c>
      <c r="G74" s="16" t="s">
        <v>54</v>
      </c>
      <c r="H74" s="16" t="s">
        <v>15</v>
      </c>
      <c r="I74" s="16">
        <v>15000</v>
      </c>
      <c r="J74" s="17">
        <v>12000</v>
      </c>
      <c r="K74" s="17">
        <f t="shared" si="2"/>
        <v>480000</v>
      </c>
      <c r="L74" s="69">
        <f t="shared" si="3"/>
        <v>12000</v>
      </c>
    </row>
    <row r="75" spans="1:12" ht="126">
      <c r="A75" s="20">
        <v>71</v>
      </c>
      <c r="B75" s="21" t="s">
        <v>212</v>
      </c>
      <c r="C75" s="21" t="s">
        <v>213</v>
      </c>
      <c r="D75" s="21" t="s">
        <v>214</v>
      </c>
      <c r="E75" s="20" t="s">
        <v>215</v>
      </c>
      <c r="F75" s="16">
        <v>250</v>
      </c>
      <c r="G75" s="16" t="s">
        <v>216</v>
      </c>
      <c r="H75" s="16" t="s">
        <v>15</v>
      </c>
      <c r="I75" s="16">
        <v>7500</v>
      </c>
      <c r="J75" s="17">
        <v>6000</v>
      </c>
      <c r="K75" s="17">
        <f t="shared" si="2"/>
        <v>1500000</v>
      </c>
      <c r="L75" s="69">
        <f t="shared" si="3"/>
        <v>6000</v>
      </c>
    </row>
    <row r="76" spans="1:12" ht="126">
      <c r="A76" s="20">
        <v>72</v>
      </c>
      <c r="B76" s="21" t="s">
        <v>217</v>
      </c>
      <c r="C76" s="21" t="s">
        <v>218</v>
      </c>
      <c r="D76" s="21" t="s">
        <v>219</v>
      </c>
      <c r="E76" s="20" t="s">
        <v>220</v>
      </c>
      <c r="F76" s="16">
        <v>80</v>
      </c>
      <c r="G76" s="16" t="s">
        <v>221</v>
      </c>
      <c r="H76" s="16" t="s">
        <v>15</v>
      </c>
      <c r="I76" s="16">
        <v>7500</v>
      </c>
      <c r="J76" s="17">
        <v>6000</v>
      </c>
      <c r="K76" s="17">
        <f t="shared" si="2"/>
        <v>480000</v>
      </c>
      <c r="L76" s="69">
        <f t="shared" si="3"/>
        <v>6000</v>
      </c>
    </row>
    <row r="77" spans="1:12" ht="68.099999999999994" customHeight="1">
      <c r="A77" s="20">
        <v>73</v>
      </c>
      <c r="B77" s="25" t="s">
        <v>222</v>
      </c>
      <c r="C77" s="21" t="s">
        <v>223</v>
      </c>
      <c r="D77" s="21" t="s">
        <v>224</v>
      </c>
      <c r="E77" s="20" t="s">
        <v>65</v>
      </c>
      <c r="F77" s="16">
        <v>5</v>
      </c>
      <c r="G77" s="16" t="s">
        <v>225</v>
      </c>
      <c r="H77" s="16" t="s">
        <v>15</v>
      </c>
      <c r="I77" s="16">
        <v>70000</v>
      </c>
      <c r="J77" s="17">
        <v>56000</v>
      </c>
      <c r="K77" s="17">
        <f t="shared" si="2"/>
        <v>280000</v>
      </c>
      <c r="L77" s="69">
        <f t="shared" si="3"/>
        <v>56000</v>
      </c>
    </row>
    <row r="78" spans="1:12" s="11" customFormat="1">
      <c r="A78" s="20">
        <v>74</v>
      </c>
      <c r="B78" s="32" t="s">
        <v>226</v>
      </c>
      <c r="C78" s="25" t="s">
        <v>227</v>
      </c>
      <c r="D78" s="25"/>
      <c r="E78" s="28" t="s">
        <v>167</v>
      </c>
      <c r="F78" s="16">
        <v>21</v>
      </c>
      <c r="G78" s="16" t="s">
        <v>54</v>
      </c>
      <c r="H78" s="16" t="s">
        <v>15</v>
      </c>
      <c r="I78" s="16">
        <v>135000</v>
      </c>
      <c r="J78" s="17">
        <v>108000</v>
      </c>
      <c r="K78" s="17">
        <f t="shared" si="2"/>
        <v>2268000</v>
      </c>
      <c r="L78" s="69">
        <f t="shared" si="3"/>
        <v>108000</v>
      </c>
    </row>
    <row r="79" spans="1:12" ht="110.25">
      <c r="A79" s="20">
        <v>75</v>
      </c>
      <c r="B79" s="21" t="s">
        <v>228</v>
      </c>
      <c r="C79" s="21" t="s">
        <v>229</v>
      </c>
      <c r="D79" s="21" t="s">
        <v>230</v>
      </c>
      <c r="E79" s="20" t="s">
        <v>68</v>
      </c>
      <c r="F79" s="16">
        <v>50</v>
      </c>
      <c r="G79" s="16" t="s">
        <v>54</v>
      </c>
      <c r="H79" s="16" t="s">
        <v>15</v>
      </c>
      <c r="I79" s="16">
        <v>20000</v>
      </c>
      <c r="J79" s="17">
        <v>16000</v>
      </c>
      <c r="K79" s="17">
        <f t="shared" si="2"/>
        <v>800000</v>
      </c>
      <c r="L79" s="69">
        <f t="shared" si="3"/>
        <v>16000</v>
      </c>
    </row>
    <row r="80" spans="1:12" ht="141.75">
      <c r="A80" s="20">
        <v>76</v>
      </c>
      <c r="B80" s="21" t="s">
        <v>231</v>
      </c>
      <c r="C80" s="21" t="s">
        <v>231</v>
      </c>
      <c r="D80" s="21" t="s">
        <v>232</v>
      </c>
      <c r="E80" s="20" t="s">
        <v>233</v>
      </c>
      <c r="F80" s="16">
        <v>50</v>
      </c>
      <c r="G80" s="16" t="s">
        <v>54</v>
      </c>
      <c r="H80" s="16" t="s">
        <v>15</v>
      </c>
      <c r="I80" s="16">
        <v>3000</v>
      </c>
      <c r="J80" s="17">
        <v>2400</v>
      </c>
      <c r="K80" s="17">
        <f t="shared" si="2"/>
        <v>120000</v>
      </c>
      <c r="L80" s="69">
        <f t="shared" si="3"/>
        <v>2400</v>
      </c>
    </row>
    <row r="81" spans="1:12" ht="141.75">
      <c r="A81" s="20">
        <v>77</v>
      </c>
      <c r="B81" s="21" t="s">
        <v>234</v>
      </c>
      <c r="C81" s="21" t="s">
        <v>234</v>
      </c>
      <c r="D81" s="21" t="s">
        <v>232</v>
      </c>
      <c r="E81" s="20" t="s">
        <v>233</v>
      </c>
      <c r="F81" s="16">
        <v>50</v>
      </c>
      <c r="G81" s="16" t="s">
        <v>54</v>
      </c>
      <c r="H81" s="16" t="s">
        <v>15</v>
      </c>
      <c r="I81" s="16">
        <v>3000</v>
      </c>
      <c r="J81" s="17">
        <v>2400</v>
      </c>
      <c r="K81" s="17">
        <f t="shared" si="2"/>
        <v>120000</v>
      </c>
      <c r="L81" s="69">
        <f t="shared" si="3"/>
        <v>2400</v>
      </c>
    </row>
    <row r="82" spans="1:12" ht="141.75">
      <c r="A82" s="20">
        <v>78</v>
      </c>
      <c r="B82" s="21" t="s">
        <v>235</v>
      </c>
      <c r="C82" s="21" t="s">
        <v>235</v>
      </c>
      <c r="D82" s="21" t="s">
        <v>232</v>
      </c>
      <c r="E82" s="20" t="s">
        <v>233</v>
      </c>
      <c r="F82" s="16">
        <v>50</v>
      </c>
      <c r="G82" s="16" t="s">
        <v>54</v>
      </c>
      <c r="H82" s="16" t="s">
        <v>15</v>
      </c>
      <c r="I82" s="16">
        <v>3000</v>
      </c>
      <c r="J82" s="17">
        <v>2400</v>
      </c>
      <c r="K82" s="17">
        <f t="shared" si="2"/>
        <v>120000</v>
      </c>
      <c r="L82" s="69">
        <f t="shared" si="3"/>
        <v>2400</v>
      </c>
    </row>
    <row r="83" spans="1:12" ht="141.75">
      <c r="A83" s="20">
        <v>79</v>
      </c>
      <c r="B83" s="21" t="s">
        <v>236</v>
      </c>
      <c r="C83" s="21" t="s">
        <v>237</v>
      </c>
      <c r="D83" s="21" t="s">
        <v>238</v>
      </c>
      <c r="E83" s="20" t="s">
        <v>233</v>
      </c>
      <c r="F83" s="16">
        <v>50</v>
      </c>
      <c r="G83" s="16" t="s">
        <v>54</v>
      </c>
      <c r="H83" s="16" t="s">
        <v>15</v>
      </c>
      <c r="I83" s="16">
        <v>10000</v>
      </c>
      <c r="J83" s="17">
        <v>8000</v>
      </c>
      <c r="K83" s="17">
        <f t="shared" si="2"/>
        <v>400000</v>
      </c>
      <c r="L83" s="69">
        <f t="shared" si="3"/>
        <v>8000</v>
      </c>
    </row>
    <row r="84" spans="1:12" ht="126">
      <c r="A84" s="20">
        <v>80</v>
      </c>
      <c r="B84" s="21" t="s">
        <v>239</v>
      </c>
      <c r="C84" s="21" t="s">
        <v>237</v>
      </c>
      <c r="D84" s="21" t="s">
        <v>240</v>
      </c>
      <c r="E84" s="20" t="s">
        <v>233</v>
      </c>
      <c r="F84" s="16">
        <v>50</v>
      </c>
      <c r="G84" s="16" t="s">
        <v>54</v>
      </c>
      <c r="H84" s="16" t="s">
        <v>15</v>
      </c>
      <c r="I84" s="16">
        <v>10000</v>
      </c>
      <c r="J84" s="17">
        <v>8000</v>
      </c>
      <c r="K84" s="17">
        <f t="shared" si="2"/>
        <v>400000</v>
      </c>
      <c r="L84" s="69">
        <f t="shared" si="3"/>
        <v>8000</v>
      </c>
    </row>
    <row r="85" spans="1:12" ht="110.25">
      <c r="A85" s="20">
        <v>81</v>
      </c>
      <c r="B85" s="21" t="s">
        <v>241</v>
      </c>
      <c r="C85" s="21" t="s">
        <v>237</v>
      </c>
      <c r="D85" s="21" t="s">
        <v>242</v>
      </c>
      <c r="E85" s="20" t="s">
        <v>233</v>
      </c>
      <c r="F85" s="16">
        <v>50</v>
      </c>
      <c r="G85" s="16" t="s">
        <v>54</v>
      </c>
      <c r="H85" s="16" t="s">
        <v>15</v>
      </c>
      <c r="I85" s="16">
        <v>2000</v>
      </c>
      <c r="J85" s="17">
        <v>1600</v>
      </c>
      <c r="K85" s="17">
        <f t="shared" si="2"/>
        <v>80000</v>
      </c>
      <c r="L85" s="69">
        <f t="shared" si="3"/>
        <v>1600</v>
      </c>
    </row>
    <row r="86" spans="1:12">
      <c r="A86" s="20">
        <v>82</v>
      </c>
      <c r="B86" s="21" t="s">
        <v>243</v>
      </c>
      <c r="C86" s="21" t="s">
        <v>237</v>
      </c>
      <c r="D86" s="21"/>
      <c r="E86" s="20" t="s">
        <v>233</v>
      </c>
      <c r="F86" s="16">
        <v>50</v>
      </c>
      <c r="G86" s="16" t="s">
        <v>54</v>
      </c>
      <c r="H86" s="16" t="s">
        <v>15</v>
      </c>
      <c r="I86" s="16">
        <v>2000</v>
      </c>
      <c r="J86" s="17">
        <v>1600</v>
      </c>
      <c r="K86" s="17">
        <f t="shared" si="2"/>
        <v>80000</v>
      </c>
      <c r="L86" s="69">
        <f t="shared" si="3"/>
        <v>1600</v>
      </c>
    </row>
    <row r="87" spans="1:12" ht="78.75">
      <c r="A87" s="20">
        <v>83</v>
      </c>
      <c r="B87" s="21" t="s">
        <v>244</v>
      </c>
      <c r="C87" s="21" t="s">
        <v>244</v>
      </c>
      <c r="D87" s="21" t="s">
        <v>245</v>
      </c>
      <c r="E87" s="20" t="s">
        <v>233</v>
      </c>
      <c r="F87" s="16">
        <v>100</v>
      </c>
      <c r="G87" s="16" t="s">
        <v>54</v>
      </c>
      <c r="H87" s="16" t="s">
        <v>15</v>
      </c>
      <c r="I87" s="16">
        <v>3000</v>
      </c>
      <c r="J87" s="17">
        <v>2400</v>
      </c>
      <c r="K87" s="17">
        <f t="shared" si="2"/>
        <v>240000</v>
      </c>
      <c r="L87" s="69">
        <f t="shared" si="3"/>
        <v>2400</v>
      </c>
    </row>
    <row r="88" spans="1:12" ht="94.5">
      <c r="A88" s="20">
        <v>84</v>
      </c>
      <c r="B88" s="21" t="s">
        <v>246</v>
      </c>
      <c r="C88" s="21" t="s">
        <v>246</v>
      </c>
      <c r="D88" s="21" t="s">
        <v>247</v>
      </c>
      <c r="E88" s="20" t="s">
        <v>233</v>
      </c>
      <c r="F88" s="16">
        <v>100</v>
      </c>
      <c r="G88" s="16" t="s">
        <v>54</v>
      </c>
      <c r="H88" s="16" t="s">
        <v>15</v>
      </c>
      <c r="I88" s="16">
        <v>2000</v>
      </c>
      <c r="J88" s="17">
        <v>1600</v>
      </c>
      <c r="K88" s="17">
        <f t="shared" si="2"/>
        <v>160000</v>
      </c>
      <c r="L88" s="69">
        <f t="shared" si="3"/>
        <v>1600</v>
      </c>
    </row>
    <row r="89" spans="1:12" ht="126">
      <c r="A89" s="20">
        <v>85</v>
      </c>
      <c r="B89" s="21" t="s">
        <v>248</v>
      </c>
      <c r="C89" s="21" t="s">
        <v>248</v>
      </c>
      <c r="D89" s="21" t="s">
        <v>249</v>
      </c>
      <c r="E89" s="20" t="s">
        <v>233</v>
      </c>
      <c r="F89" s="16">
        <v>100</v>
      </c>
      <c r="G89" s="16" t="s">
        <v>54</v>
      </c>
      <c r="H89" s="16" t="s">
        <v>15</v>
      </c>
      <c r="I89" s="16">
        <v>2000</v>
      </c>
      <c r="J89" s="17">
        <v>1600</v>
      </c>
      <c r="K89" s="17">
        <f t="shared" si="2"/>
        <v>160000</v>
      </c>
      <c r="L89" s="69">
        <f t="shared" si="3"/>
        <v>1600</v>
      </c>
    </row>
    <row r="90" spans="1:12" ht="63">
      <c r="A90" s="20">
        <v>86</v>
      </c>
      <c r="B90" s="21" t="s">
        <v>250</v>
      </c>
      <c r="C90" s="21" t="s">
        <v>250</v>
      </c>
      <c r="D90" s="21" t="s">
        <v>251</v>
      </c>
      <c r="E90" s="20" t="s">
        <v>233</v>
      </c>
      <c r="F90" s="16">
        <v>300</v>
      </c>
      <c r="G90" s="16" t="s">
        <v>54</v>
      </c>
      <c r="H90" s="16" t="s">
        <v>15</v>
      </c>
      <c r="I90" s="16">
        <v>2000</v>
      </c>
      <c r="J90" s="17">
        <v>1600</v>
      </c>
      <c r="K90" s="17">
        <f t="shared" si="2"/>
        <v>480000</v>
      </c>
      <c r="L90" s="69">
        <f t="shared" si="3"/>
        <v>1600</v>
      </c>
    </row>
    <row r="91" spans="1:12" ht="63">
      <c r="A91" s="20">
        <v>87</v>
      </c>
      <c r="B91" s="21" t="s">
        <v>252</v>
      </c>
      <c r="C91" s="21" t="s">
        <v>252</v>
      </c>
      <c r="D91" s="21" t="s">
        <v>251</v>
      </c>
      <c r="E91" s="20" t="s">
        <v>233</v>
      </c>
      <c r="F91" s="16">
        <v>300</v>
      </c>
      <c r="G91" s="16" t="s">
        <v>54</v>
      </c>
      <c r="H91" s="16" t="s">
        <v>15</v>
      </c>
      <c r="I91" s="16">
        <v>2000</v>
      </c>
      <c r="J91" s="17">
        <v>1600</v>
      </c>
      <c r="K91" s="17">
        <f t="shared" si="2"/>
        <v>480000</v>
      </c>
      <c r="L91" s="69">
        <f t="shared" si="3"/>
        <v>1600</v>
      </c>
    </row>
    <row r="92" spans="1:12" ht="63">
      <c r="A92" s="20">
        <v>88</v>
      </c>
      <c r="B92" s="21" t="s">
        <v>253</v>
      </c>
      <c r="C92" s="21" t="s">
        <v>253</v>
      </c>
      <c r="D92" s="21" t="s">
        <v>251</v>
      </c>
      <c r="E92" s="20" t="s">
        <v>233</v>
      </c>
      <c r="F92" s="16">
        <v>100</v>
      </c>
      <c r="G92" s="16" t="s">
        <v>54</v>
      </c>
      <c r="H92" s="16" t="s">
        <v>15</v>
      </c>
      <c r="I92" s="16">
        <v>2000</v>
      </c>
      <c r="J92" s="17">
        <v>1600</v>
      </c>
      <c r="K92" s="17">
        <f t="shared" si="2"/>
        <v>160000</v>
      </c>
      <c r="L92" s="69">
        <f t="shared" si="3"/>
        <v>1600</v>
      </c>
    </row>
    <row r="93" spans="1:12" s="11" customFormat="1" ht="63">
      <c r="A93" s="20">
        <v>89</v>
      </c>
      <c r="B93" s="25" t="s">
        <v>254</v>
      </c>
      <c r="C93" s="25" t="s">
        <v>255</v>
      </c>
      <c r="D93" s="25" t="s">
        <v>251</v>
      </c>
      <c r="E93" s="20" t="s">
        <v>233</v>
      </c>
      <c r="F93" s="26">
        <v>200</v>
      </c>
      <c r="G93" s="16" t="s">
        <v>54</v>
      </c>
      <c r="H93" s="16" t="s">
        <v>15</v>
      </c>
      <c r="I93" s="16">
        <v>2000</v>
      </c>
      <c r="J93" s="17">
        <v>1600</v>
      </c>
      <c r="K93" s="17">
        <f t="shared" si="2"/>
        <v>320000</v>
      </c>
      <c r="L93" s="69">
        <f t="shared" si="3"/>
        <v>1600</v>
      </c>
    </row>
    <row r="94" spans="1:12" s="11" customFormat="1" ht="63">
      <c r="A94" s="20">
        <v>90</v>
      </c>
      <c r="B94" s="25" t="s">
        <v>256</v>
      </c>
      <c r="C94" s="25" t="s">
        <v>255</v>
      </c>
      <c r="D94" s="25" t="s">
        <v>251</v>
      </c>
      <c r="E94" s="20" t="s">
        <v>233</v>
      </c>
      <c r="F94" s="26">
        <v>200</v>
      </c>
      <c r="G94" s="26" t="s">
        <v>54</v>
      </c>
      <c r="H94" s="16" t="s">
        <v>15</v>
      </c>
      <c r="I94" s="16">
        <v>2000</v>
      </c>
      <c r="J94" s="17">
        <v>1600</v>
      </c>
      <c r="K94" s="17">
        <f t="shared" si="2"/>
        <v>320000</v>
      </c>
      <c r="L94" s="69">
        <f t="shared" si="3"/>
        <v>1600</v>
      </c>
    </row>
    <row r="95" spans="1:12" s="11" customFormat="1" ht="63">
      <c r="A95" s="20">
        <v>91</v>
      </c>
      <c r="B95" s="25" t="s">
        <v>257</v>
      </c>
      <c r="C95" s="25" t="s">
        <v>255</v>
      </c>
      <c r="D95" s="25" t="s">
        <v>251</v>
      </c>
      <c r="E95" s="20" t="s">
        <v>233</v>
      </c>
      <c r="F95" s="26">
        <v>200</v>
      </c>
      <c r="G95" s="26" t="s">
        <v>54</v>
      </c>
      <c r="H95" s="16" t="s">
        <v>15</v>
      </c>
      <c r="I95" s="16">
        <v>2000</v>
      </c>
      <c r="J95" s="17">
        <v>1600</v>
      </c>
      <c r="K95" s="17">
        <f t="shared" si="2"/>
        <v>320000</v>
      </c>
      <c r="L95" s="69">
        <f t="shared" si="3"/>
        <v>1600</v>
      </c>
    </row>
    <row r="96" spans="1:12" s="11" customFormat="1" ht="267.75">
      <c r="A96" s="20">
        <v>92</v>
      </c>
      <c r="B96" s="32" t="s">
        <v>258</v>
      </c>
      <c r="C96" s="21" t="s">
        <v>259</v>
      </c>
      <c r="D96" s="21" t="s">
        <v>260</v>
      </c>
      <c r="E96" s="28" t="s">
        <v>233</v>
      </c>
      <c r="F96" s="26">
        <v>20</v>
      </c>
      <c r="G96" s="26" t="s">
        <v>54</v>
      </c>
      <c r="H96" s="16" t="s">
        <v>15</v>
      </c>
      <c r="I96" s="26">
        <v>11000</v>
      </c>
      <c r="J96" s="17">
        <v>8800</v>
      </c>
      <c r="K96" s="17">
        <f t="shared" si="2"/>
        <v>176000</v>
      </c>
      <c r="L96" s="69">
        <f t="shared" si="3"/>
        <v>8800</v>
      </c>
    </row>
    <row r="97" spans="1:12" s="11" customFormat="1" ht="157.5">
      <c r="A97" s="20">
        <v>93</v>
      </c>
      <c r="B97" s="32" t="s">
        <v>261</v>
      </c>
      <c r="C97" s="25" t="s">
        <v>262</v>
      </c>
      <c r="D97" s="25" t="s">
        <v>263</v>
      </c>
      <c r="E97" s="28" t="s">
        <v>233</v>
      </c>
      <c r="F97" s="26">
        <v>25</v>
      </c>
      <c r="G97" s="26" t="s">
        <v>54</v>
      </c>
      <c r="H97" s="16" t="s">
        <v>15</v>
      </c>
      <c r="I97" s="26">
        <v>7000</v>
      </c>
      <c r="J97" s="17">
        <v>5600</v>
      </c>
      <c r="K97" s="17">
        <f t="shared" si="2"/>
        <v>140000</v>
      </c>
      <c r="L97" s="69">
        <f t="shared" si="3"/>
        <v>5600</v>
      </c>
    </row>
    <row r="98" spans="1:12" s="11" customFormat="1" ht="94.5">
      <c r="A98" s="20">
        <v>94</v>
      </c>
      <c r="B98" s="32" t="s">
        <v>264</v>
      </c>
      <c r="C98" s="25" t="s">
        <v>265</v>
      </c>
      <c r="D98" s="25" t="s">
        <v>266</v>
      </c>
      <c r="E98" s="28" t="s">
        <v>233</v>
      </c>
      <c r="F98" s="26">
        <v>25</v>
      </c>
      <c r="G98" s="26" t="s">
        <v>54</v>
      </c>
      <c r="H98" s="16" t="s">
        <v>15</v>
      </c>
      <c r="I98" s="26">
        <v>9000</v>
      </c>
      <c r="J98" s="17">
        <v>7200</v>
      </c>
      <c r="K98" s="17">
        <f t="shared" si="2"/>
        <v>180000</v>
      </c>
      <c r="L98" s="69">
        <f t="shared" si="3"/>
        <v>7200</v>
      </c>
    </row>
    <row r="99" spans="1:12" s="11" customFormat="1" ht="94.5">
      <c r="A99" s="20">
        <v>95</v>
      </c>
      <c r="B99" s="25" t="s">
        <v>267</v>
      </c>
      <c r="C99" s="25" t="s">
        <v>268</v>
      </c>
      <c r="D99" s="25" t="s">
        <v>269</v>
      </c>
      <c r="E99" s="28" t="s">
        <v>233</v>
      </c>
      <c r="F99" s="26">
        <v>50</v>
      </c>
      <c r="G99" s="26" t="s">
        <v>54</v>
      </c>
      <c r="H99" s="16" t="s">
        <v>81</v>
      </c>
      <c r="I99" s="26">
        <v>4000</v>
      </c>
      <c r="J99" s="17">
        <v>3200</v>
      </c>
      <c r="K99" s="17">
        <f t="shared" si="2"/>
        <v>160000</v>
      </c>
      <c r="L99" s="69">
        <f t="shared" si="3"/>
        <v>3200</v>
      </c>
    </row>
    <row r="100" spans="1:12" ht="141.94999999999999" customHeight="1">
      <c r="A100" s="20">
        <v>96</v>
      </c>
      <c r="B100" s="21" t="s">
        <v>270</v>
      </c>
      <c r="C100" s="21" t="s">
        <v>271</v>
      </c>
      <c r="D100" s="21" t="s">
        <v>272</v>
      </c>
      <c r="E100" s="20" t="s">
        <v>233</v>
      </c>
      <c r="F100" s="16">
        <v>20</v>
      </c>
      <c r="G100" s="16" t="s">
        <v>54</v>
      </c>
      <c r="H100" s="16" t="s">
        <v>15</v>
      </c>
      <c r="I100" s="16">
        <v>5000</v>
      </c>
      <c r="J100" s="17">
        <v>4000</v>
      </c>
      <c r="K100" s="17">
        <f t="shared" si="2"/>
        <v>80000</v>
      </c>
      <c r="L100" s="69">
        <f t="shared" si="3"/>
        <v>4000</v>
      </c>
    </row>
    <row r="101" spans="1:12" s="11" customFormat="1" ht="141.75">
      <c r="A101" s="20">
        <v>97</v>
      </c>
      <c r="B101" s="32" t="s">
        <v>273</v>
      </c>
      <c r="C101" s="21" t="s">
        <v>274</v>
      </c>
      <c r="D101" s="21" t="s">
        <v>275</v>
      </c>
      <c r="E101" s="28" t="s">
        <v>233</v>
      </c>
      <c r="F101" s="26">
        <v>50</v>
      </c>
      <c r="G101" s="26" t="s">
        <v>54</v>
      </c>
      <c r="H101" s="16" t="s">
        <v>15</v>
      </c>
      <c r="I101" s="26">
        <v>1000</v>
      </c>
      <c r="J101" s="17">
        <v>1000</v>
      </c>
      <c r="K101" s="17">
        <f t="shared" si="2"/>
        <v>50000</v>
      </c>
      <c r="L101" s="69">
        <f t="shared" si="3"/>
        <v>800</v>
      </c>
    </row>
    <row r="102" spans="1:12" s="11" customFormat="1" ht="189">
      <c r="A102" s="20">
        <v>98</v>
      </c>
      <c r="B102" s="32" t="s">
        <v>276</v>
      </c>
      <c r="C102" s="21" t="s">
        <v>277</v>
      </c>
      <c r="D102" s="21" t="s">
        <v>278</v>
      </c>
      <c r="E102" s="28" t="s">
        <v>233</v>
      </c>
      <c r="F102" s="26">
        <v>50</v>
      </c>
      <c r="G102" s="26" t="s">
        <v>54</v>
      </c>
      <c r="H102" s="16" t="s">
        <v>15</v>
      </c>
      <c r="I102" s="26">
        <v>1000</v>
      </c>
      <c r="J102" s="17">
        <v>1000</v>
      </c>
      <c r="K102" s="17">
        <f t="shared" si="2"/>
        <v>50000</v>
      </c>
      <c r="L102" s="69">
        <f t="shared" si="3"/>
        <v>800</v>
      </c>
    </row>
    <row r="103" spans="1:12" ht="126">
      <c r="A103" s="20">
        <v>99</v>
      </c>
      <c r="B103" s="21" t="s">
        <v>279</v>
      </c>
      <c r="C103" s="21" t="s">
        <v>280</v>
      </c>
      <c r="D103" s="21" t="s">
        <v>281</v>
      </c>
      <c r="E103" s="20" t="s">
        <v>233</v>
      </c>
      <c r="F103" s="16">
        <v>100</v>
      </c>
      <c r="G103" s="16" t="s">
        <v>54</v>
      </c>
      <c r="H103" s="16" t="s">
        <v>15</v>
      </c>
      <c r="I103" s="16">
        <v>1000</v>
      </c>
      <c r="J103" s="17">
        <v>1000</v>
      </c>
      <c r="K103" s="17">
        <f t="shared" si="2"/>
        <v>100000</v>
      </c>
      <c r="L103" s="69">
        <f t="shared" si="3"/>
        <v>800</v>
      </c>
    </row>
    <row r="104" spans="1:12" ht="78.75">
      <c r="A104" s="20">
        <v>100</v>
      </c>
      <c r="B104" s="21" t="s">
        <v>282</v>
      </c>
      <c r="C104" s="21" t="s">
        <v>283</v>
      </c>
      <c r="D104" s="21" t="s">
        <v>284</v>
      </c>
      <c r="E104" s="20" t="s">
        <v>68</v>
      </c>
      <c r="F104" s="16">
        <v>20</v>
      </c>
      <c r="G104" s="16" t="s">
        <v>54</v>
      </c>
      <c r="H104" s="16" t="s">
        <v>15</v>
      </c>
      <c r="I104" s="16">
        <v>111000</v>
      </c>
      <c r="J104" s="17">
        <v>88800</v>
      </c>
      <c r="K104" s="17">
        <f t="shared" si="2"/>
        <v>1776000</v>
      </c>
      <c r="L104" s="69">
        <f t="shared" si="3"/>
        <v>88800</v>
      </c>
    </row>
    <row r="105" spans="1:12" ht="47.25">
      <c r="A105" s="20">
        <v>101</v>
      </c>
      <c r="B105" s="21" t="s">
        <v>285</v>
      </c>
      <c r="C105" s="21" t="s">
        <v>286</v>
      </c>
      <c r="D105" s="21" t="s">
        <v>287</v>
      </c>
      <c r="E105" s="20" t="s">
        <v>68</v>
      </c>
      <c r="F105" s="16">
        <v>46</v>
      </c>
      <c r="G105" s="16" t="s">
        <v>72</v>
      </c>
      <c r="H105" s="16" t="s">
        <v>15</v>
      </c>
      <c r="I105" s="16">
        <v>45000</v>
      </c>
      <c r="J105" s="17">
        <v>42000</v>
      </c>
      <c r="K105" s="17">
        <f t="shared" si="2"/>
        <v>1932000</v>
      </c>
      <c r="L105" s="69">
        <f t="shared" si="3"/>
        <v>36000</v>
      </c>
    </row>
    <row r="106" spans="1:12" s="11" customFormat="1">
      <c r="A106" s="20">
        <v>102</v>
      </c>
      <c r="B106" s="34" t="s">
        <v>288</v>
      </c>
      <c r="C106" s="35" t="s">
        <v>288</v>
      </c>
      <c r="D106" s="35"/>
      <c r="E106" s="28" t="s">
        <v>289</v>
      </c>
      <c r="F106" s="26">
        <v>1</v>
      </c>
      <c r="G106" s="26" t="s">
        <v>54</v>
      </c>
      <c r="H106" s="16" t="s">
        <v>15</v>
      </c>
      <c r="I106" s="26">
        <v>20000</v>
      </c>
      <c r="J106" s="17">
        <v>90000</v>
      </c>
      <c r="K106" s="17">
        <f t="shared" si="2"/>
        <v>90000</v>
      </c>
      <c r="L106" s="69">
        <f t="shared" si="3"/>
        <v>16000</v>
      </c>
    </row>
    <row r="107" spans="1:12" ht="15" customHeight="1">
      <c r="A107" s="20">
        <v>103</v>
      </c>
      <c r="B107" s="21" t="s">
        <v>290</v>
      </c>
      <c r="C107" s="21" t="s">
        <v>291</v>
      </c>
      <c r="D107" s="21"/>
      <c r="E107" s="28" t="s">
        <v>289</v>
      </c>
      <c r="F107" s="16">
        <v>1</v>
      </c>
      <c r="G107" s="16" t="s">
        <v>54</v>
      </c>
      <c r="H107" s="16" t="s">
        <v>15</v>
      </c>
      <c r="I107" s="16">
        <v>30000</v>
      </c>
      <c r="J107" s="17">
        <v>300000</v>
      </c>
      <c r="K107" s="17">
        <f t="shared" si="2"/>
        <v>300000</v>
      </c>
      <c r="L107" s="69">
        <f t="shared" si="3"/>
        <v>24000</v>
      </c>
    </row>
    <row r="108" spans="1:12" ht="50.25" customHeight="1">
      <c r="A108" s="20">
        <v>104</v>
      </c>
      <c r="B108" s="21" t="s">
        <v>292</v>
      </c>
      <c r="C108" s="21" t="s">
        <v>293</v>
      </c>
      <c r="D108" s="21" t="s">
        <v>294</v>
      </c>
      <c r="E108" s="20" t="s">
        <v>68</v>
      </c>
      <c r="F108" s="16">
        <v>250</v>
      </c>
      <c r="G108" s="16" t="s">
        <v>72</v>
      </c>
      <c r="H108" s="16" t="s">
        <v>15</v>
      </c>
      <c r="I108" s="16">
        <v>50000</v>
      </c>
      <c r="J108" s="17">
        <v>40000</v>
      </c>
      <c r="K108" s="17">
        <f t="shared" si="2"/>
        <v>10000000</v>
      </c>
      <c r="L108" s="69">
        <f t="shared" si="3"/>
        <v>40000</v>
      </c>
    </row>
    <row r="109" spans="1:12" ht="93.95" customHeight="1">
      <c r="A109" s="20">
        <v>105</v>
      </c>
      <c r="B109" s="25" t="s">
        <v>295</v>
      </c>
      <c r="C109" s="21" t="s">
        <v>296</v>
      </c>
      <c r="D109" s="21" t="s">
        <v>297</v>
      </c>
      <c r="E109" s="20" t="s">
        <v>65</v>
      </c>
      <c r="F109" s="16">
        <v>50</v>
      </c>
      <c r="G109" s="16" t="s">
        <v>54</v>
      </c>
      <c r="H109" s="16" t="s">
        <v>81</v>
      </c>
      <c r="I109" s="16">
        <v>110001</v>
      </c>
      <c r="J109" s="17">
        <v>10000</v>
      </c>
      <c r="K109" s="17">
        <f t="shared" si="2"/>
        <v>500000</v>
      </c>
      <c r="L109" s="69">
        <f t="shared" si="3"/>
        <v>88000.8</v>
      </c>
    </row>
    <row r="110" spans="1:12" ht="173.25">
      <c r="A110" s="20">
        <v>106</v>
      </c>
      <c r="B110" s="21" t="s">
        <v>298</v>
      </c>
      <c r="C110" s="21" t="s">
        <v>299</v>
      </c>
      <c r="D110" s="21" t="s">
        <v>300</v>
      </c>
      <c r="E110" s="20" t="s">
        <v>68</v>
      </c>
      <c r="F110" s="16">
        <v>300</v>
      </c>
      <c r="G110" s="16" t="s">
        <v>54</v>
      </c>
      <c r="H110" s="16" t="s">
        <v>15</v>
      </c>
      <c r="I110" s="16">
        <v>7000</v>
      </c>
      <c r="J110" s="17">
        <v>5600</v>
      </c>
      <c r="K110" s="17">
        <f t="shared" si="2"/>
        <v>1680000</v>
      </c>
      <c r="L110" s="69">
        <f t="shared" si="3"/>
        <v>5600</v>
      </c>
    </row>
    <row r="111" spans="1:12" ht="236.25">
      <c r="A111" s="20">
        <v>107</v>
      </c>
      <c r="B111" s="21" t="s">
        <v>301</v>
      </c>
      <c r="C111" s="21" t="s">
        <v>302</v>
      </c>
      <c r="D111" s="21" t="s">
        <v>303</v>
      </c>
      <c r="E111" s="20" t="s">
        <v>68</v>
      </c>
      <c r="F111" s="16">
        <v>600</v>
      </c>
      <c r="G111" s="16" t="s">
        <v>304</v>
      </c>
      <c r="H111" s="16" t="s">
        <v>81</v>
      </c>
      <c r="I111" s="16">
        <v>6500</v>
      </c>
      <c r="J111" s="17">
        <v>5200</v>
      </c>
      <c r="K111" s="17">
        <f t="shared" si="2"/>
        <v>3120000</v>
      </c>
      <c r="L111" s="69">
        <f t="shared" si="3"/>
        <v>5200</v>
      </c>
    </row>
    <row r="112" spans="1:12" ht="47.25">
      <c r="A112" s="20">
        <v>108</v>
      </c>
      <c r="B112" s="21" t="s">
        <v>305</v>
      </c>
      <c r="C112" s="21" t="s">
        <v>306</v>
      </c>
      <c r="D112" s="21"/>
      <c r="E112" s="20" t="s">
        <v>68</v>
      </c>
      <c r="F112" s="16">
        <v>450</v>
      </c>
      <c r="G112" s="16" t="s">
        <v>54</v>
      </c>
      <c r="H112" s="16" t="s">
        <v>15</v>
      </c>
      <c r="I112" s="16">
        <v>10000</v>
      </c>
      <c r="J112" s="17">
        <v>10000</v>
      </c>
      <c r="K112" s="17">
        <f t="shared" si="2"/>
        <v>4500000</v>
      </c>
      <c r="L112" s="69">
        <f t="shared" si="3"/>
        <v>8000</v>
      </c>
    </row>
    <row r="113" spans="1:12">
      <c r="A113" s="20">
        <v>109</v>
      </c>
      <c r="B113" s="21" t="s">
        <v>307</v>
      </c>
      <c r="C113" s="21" t="s">
        <v>307</v>
      </c>
      <c r="D113" s="21"/>
      <c r="E113" s="20" t="s">
        <v>68</v>
      </c>
      <c r="F113" s="16">
        <v>250</v>
      </c>
      <c r="G113" s="16" t="s">
        <v>54</v>
      </c>
      <c r="H113" s="16" t="s">
        <v>15</v>
      </c>
      <c r="I113" s="16">
        <v>6000</v>
      </c>
      <c r="J113" s="17">
        <v>4800</v>
      </c>
      <c r="K113" s="17">
        <f t="shared" si="2"/>
        <v>1200000</v>
      </c>
      <c r="L113" s="69">
        <f t="shared" si="3"/>
        <v>4800</v>
      </c>
    </row>
    <row r="114" spans="1:12" ht="94.5">
      <c r="A114" s="20">
        <v>110</v>
      </c>
      <c r="B114" s="21" t="s">
        <v>308</v>
      </c>
      <c r="C114" s="21" t="s">
        <v>308</v>
      </c>
      <c r="D114" s="21" t="s">
        <v>309</v>
      </c>
      <c r="E114" s="20" t="s">
        <v>68</v>
      </c>
      <c r="F114" s="16">
        <v>300</v>
      </c>
      <c r="G114" s="16" t="s">
        <v>54</v>
      </c>
      <c r="H114" s="16" t="s">
        <v>73</v>
      </c>
      <c r="I114" s="16">
        <v>13000</v>
      </c>
      <c r="J114" s="17">
        <v>10400</v>
      </c>
      <c r="K114" s="17">
        <f t="shared" si="2"/>
        <v>3120000</v>
      </c>
      <c r="L114" s="69">
        <f t="shared" si="3"/>
        <v>10400</v>
      </c>
    </row>
    <row r="115" spans="1:12" ht="63">
      <c r="A115" s="20">
        <v>111</v>
      </c>
      <c r="B115" s="21" t="s">
        <v>310</v>
      </c>
      <c r="C115" s="21" t="s">
        <v>310</v>
      </c>
      <c r="D115" s="21" t="s">
        <v>311</v>
      </c>
      <c r="E115" s="20" t="s">
        <v>312</v>
      </c>
      <c r="F115" s="16">
        <v>80</v>
      </c>
      <c r="G115" s="16" t="s">
        <v>54</v>
      </c>
      <c r="H115" s="16" t="s">
        <v>81</v>
      </c>
      <c r="I115" s="16">
        <v>42000</v>
      </c>
      <c r="J115" s="17">
        <v>33600</v>
      </c>
      <c r="K115" s="17">
        <f t="shared" si="2"/>
        <v>2688000</v>
      </c>
      <c r="L115" s="69">
        <f t="shared" si="3"/>
        <v>33600</v>
      </c>
    </row>
    <row r="116" spans="1:12" ht="63">
      <c r="A116" s="20">
        <v>112</v>
      </c>
      <c r="B116" s="21" t="s">
        <v>313</v>
      </c>
      <c r="C116" s="21" t="s">
        <v>314</v>
      </c>
      <c r="D116" s="21" t="s">
        <v>315</v>
      </c>
      <c r="E116" s="20" t="s">
        <v>68</v>
      </c>
      <c r="F116" s="16">
        <v>30</v>
      </c>
      <c r="G116" s="16" t="s">
        <v>316</v>
      </c>
      <c r="H116" s="16" t="s">
        <v>160</v>
      </c>
      <c r="I116" s="16">
        <v>81000</v>
      </c>
      <c r="J116" s="17">
        <v>64800</v>
      </c>
      <c r="K116" s="17">
        <f t="shared" si="2"/>
        <v>1944000</v>
      </c>
      <c r="L116" s="69">
        <f t="shared" si="3"/>
        <v>64800</v>
      </c>
    </row>
    <row r="117" spans="1:12" s="11" customFormat="1" ht="78.75">
      <c r="A117" s="20">
        <v>113</v>
      </c>
      <c r="B117" s="32" t="s">
        <v>317</v>
      </c>
      <c r="C117" s="25" t="s">
        <v>318</v>
      </c>
      <c r="D117" s="25" t="s">
        <v>319</v>
      </c>
      <c r="E117" s="28" t="s">
        <v>68</v>
      </c>
      <c r="F117" s="26">
        <v>20</v>
      </c>
      <c r="G117" s="26" t="s">
        <v>171</v>
      </c>
      <c r="H117" s="16" t="s">
        <v>160</v>
      </c>
      <c r="I117" s="26">
        <v>102000</v>
      </c>
      <c r="J117" s="17">
        <v>125000</v>
      </c>
      <c r="K117" s="17">
        <f t="shared" si="2"/>
        <v>2500000</v>
      </c>
      <c r="L117" s="69">
        <f t="shared" si="3"/>
        <v>81600</v>
      </c>
    </row>
    <row r="118" spans="1:12" s="11" customFormat="1" ht="267.75">
      <c r="A118" s="20">
        <v>114</v>
      </c>
      <c r="B118" s="25" t="s">
        <v>320</v>
      </c>
      <c r="C118" s="25" t="s">
        <v>321</v>
      </c>
      <c r="D118" s="25" t="s">
        <v>322</v>
      </c>
      <c r="E118" s="28" t="s">
        <v>65</v>
      </c>
      <c r="F118" s="26">
        <v>10</v>
      </c>
      <c r="G118" s="26" t="s">
        <v>138</v>
      </c>
      <c r="H118" s="16" t="s">
        <v>160</v>
      </c>
      <c r="I118" s="26">
        <v>43000</v>
      </c>
      <c r="J118" s="17">
        <v>35000</v>
      </c>
      <c r="K118" s="17">
        <f t="shared" si="2"/>
        <v>350000</v>
      </c>
      <c r="L118" s="69">
        <f t="shared" si="3"/>
        <v>34400</v>
      </c>
    </row>
    <row r="119" spans="1:12" ht="189">
      <c r="A119" s="20">
        <v>115</v>
      </c>
      <c r="B119" s="21" t="s">
        <v>323</v>
      </c>
      <c r="C119" s="21" t="s">
        <v>324</v>
      </c>
      <c r="D119" s="21" t="s">
        <v>325</v>
      </c>
      <c r="E119" s="20" t="s">
        <v>68</v>
      </c>
      <c r="F119" s="16">
        <v>95</v>
      </c>
      <c r="G119" s="16" t="s">
        <v>72</v>
      </c>
      <c r="H119" s="16" t="s">
        <v>73</v>
      </c>
      <c r="I119" s="16">
        <v>165000</v>
      </c>
      <c r="J119" s="17">
        <v>132000</v>
      </c>
      <c r="K119" s="17">
        <f t="shared" si="2"/>
        <v>12540000</v>
      </c>
      <c r="L119" s="69">
        <f t="shared" si="3"/>
        <v>132000</v>
      </c>
    </row>
    <row r="120" spans="1:12" ht="78.75">
      <c r="A120" s="20">
        <v>116</v>
      </c>
      <c r="B120" s="21" t="s">
        <v>326</v>
      </c>
      <c r="C120" s="21" t="s">
        <v>327</v>
      </c>
      <c r="D120" s="21" t="s">
        <v>328</v>
      </c>
      <c r="E120" s="20" t="s">
        <v>68</v>
      </c>
      <c r="F120" s="16">
        <v>30</v>
      </c>
      <c r="G120" s="16" t="s">
        <v>138</v>
      </c>
      <c r="H120" s="16" t="s">
        <v>160</v>
      </c>
      <c r="I120" s="16">
        <v>95000</v>
      </c>
      <c r="J120" s="17">
        <v>76000</v>
      </c>
      <c r="K120" s="17">
        <f t="shared" si="2"/>
        <v>2280000</v>
      </c>
      <c r="L120" s="69">
        <f t="shared" si="3"/>
        <v>76000</v>
      </c>
    </row>
    <row r="121" spans="1:12" ht="157.5">
      <c r="A121" s="20">
        <v>117</v>
      </c>
      <c r="B121" s="21" t="s">
        <v>329</v>
      </c>
      <c r="C121" s="21" t="s">
        <v>330</v>
      </c>
      <c r="D121" s="21" t="s">
        <v>331</v>
      </c>
      <c r="E121" s="20" t="s">
        <v>68</v>
      </c>
      <c r="F121" s="16">
        <v>10</v>
      </c>
      <c r="G121" s="16" t="s">
        <v>72</v>
      </c>
      <c r="H121" s="16" t="s">
        <v>73</v>
      </c>
      <c r="I121" s="16">
        <v>165000</v>
      </c>
      <c r="J121" s="17">
        <v>250000</v>
      </c>
      <c r="K121" s="17">
        <f t="shared" si="2"/>
        <v>2500000</v>
      </c>
      <c r="L121" s="69">
        <f t="shared" si="3"/>
        <v>132000</v>
      </c>
    </row>
    <row r="122" spans="1:12" ht="31.5">
      <c r="A122" s="20">
        <v>118</v>
      </c>
      <c r="B122" s="21" t="s">
        <v>332</v>
      </c>
      <c r="C122" s="21" t="s">
        <v>332</v>
      </c>
      <c r="D122" s="21" t="s">
        <v>332</v>
      </c>
      <c r="E122" s="20" t="s">
        <v>167</v>
      </c>
      <c r="F122" s="16">
        <v>30</v>
      </c>
      <c r="G122" s="16" t="s">
        <v>87</v>
      </c>
      <c r="H122" s="16" t="s">
        <v>81</v>
      </c>
      <c r="I122" s="16">
        <v>53000</v>
      </c>
      <c r="J122" s="17">
        <v>42400</v>
      </c>
      <c r="K122" s="17">
        <f t="shared" si="2"/>
        <v>1272000</v>
      </c>
      <c r="L122" s="69">
        <f t="shared" si="3"/>
        <v>42400</v>
      </c>
    </row>
    <row r="123" spans="1:12" ht="63">
      <c r="A123" s="20">
        <v>119</v>
      </c>
      <c r="B123" s="21" t="s">
        <v>333</v>
      </c>
      <c r="C123" s="21" t="s">
        <v>333</v>
      </c>
      <c r="D123" s="21" t="s">
        <v>334</v>
      </c>
      <c r="E123" s="20" t="s">
        <v>68</v>
      </c>
      <c r="F123" s="16">
        <v>40</v>
      </c>
      <c r="G123" s="16" t="s">
        <v>114</v>
      </c>
      <c r="H123" s="16" t="s">
        <v>73</v>
      </c>
      <c r="I123" s="16">
        <v>315000</v>
      </c>
      <c r="J123" s="17">
        <v>252000</v>
      </c>
      <c r="K123" s="17">
        <f t="shared" si="2"/>
        <v>10080000</v>
      </c>
      <c r="L123" s="69">
        <f t="shared" si="3"/>
        <v>252000</v>
      </c>
    </row>
    <row r="124" spans="1:12" ht="141.75">
      <c r="A124" s="20">
        <v>120</v>
      </c>
      <c r="B124" s="21" t="s">
        <v>335</v>
      </c>
      <c r="C124" s="21" t="s">
        <v>336</v>
      </c>
      <c r="D124" s="21" t="s">
        <v>337</v>
      </c>
      <c r="E124" s="20" t="s">
        <v>68</v>
      </c>
      <c r="F124" s="16">
        <v>30</v>
      </c>
      <c r="G124" s="16" t="s">
        <v>338</v>
      </c>
      <c r="H124" s="16" t="s">
        <v>15</v>
      </c>
      <c r="I124" s="16">
        <v>272000</v>
      </c>
      <c r="J124" s="17">
        <v>275000</v>
      </c>
      <c r="K124" s="17">
        <f t="shared" si="2"/>
        <v>8250000</v>
      </c>
      <c r="L124" s="69">
        <f t="shared" si="3"/>
        <v>217600</v>
      </c>
    </row>
    <row r="125" spans="1:12" ht="126">
      <c r="A125" s="20">
        <v>121</v>
      </c>
      <c r="B125" s="21" t="s">
        <v>339</v>
      </c>
      <c r="C125" s="21" t="s">
        <v>340</v>
      </c>
      <c r="D125" s="21" t="s">
        <v>341</v>
      </c>
      <c r="E125" s="20" t="s">
        <v>68</v>
      </c>
      <c r="F125" s="16">
        <v>60</v>
      </c>
      <c r="G125" s="16" t="s">
        <v>338</v>
      </c>
      <c r="H125" s="16" t="s">
        <v>15</v>
      </c>
      <c r="I125" s="16">
        <v>75000</v>
      </c>
      <c r="J125" s="17">
        <v>135000</v>
      </c>
      <c r="K125" s="17">
        <f t="shared" si="2"/>
        <v>8100000</v>
      </c>
      <c r="L125" s="69">
        <f t="shared" si="3"/>
        <v>60000</v>
      </c>
    </row>
    <row r="126" spans="1:12" s="11" customFormat="1" ht="31.5">
      <c r="A126" s="20">
        <v>122</v>
      </c>
      <c r="B126" s="32" t="s">
        <v>342</v>
      </c>
      <c r="C126" s="25" t="s">
        <v>343</v>
      </c>
      <c r="D126" s="25" t="s">
        <v>344</v>
      </c>
      <c r="E126" s="28" t="s">
        <v>68</v>
      </c>
      <c r="F126" s="26">
        <v>5</v>
      </c>
      <c r="G126" s="26" t="s">
        <v>99</v>
      </c>
      <c r="H126" s="16" t="s">
        <v>50</v>
      </c>
      <c r="I126" s="26">
        <v>550000</v>
      </c>
      <c r="J126" s="17">
        <v>490000</v>
      </c>
      <c r="K126" s="17">
        <f t="shared" si="2"/>
        <v>2450000</v>
      </c>
      <c r="L126" s="69">
        <f t="shared" si="3"/>
        <v>440000</v>
      </c>
    </row>
    <row r="127" spans="1:12" s="11" customFormat="1" ht="31.5">
      <c r="A127" s="20">
        <v>123</v>
      </c>
      <c r="B127" s="32" t="s">
        <v>345</v>
      </c>
      <c r="C127" s="21" t="s">
        <v>346</v>
      </c>
      <c r="D127" s="21" t="s">
        <v>347</v>
      </c>
      <c r="E127" s="28" t="s">
        <v>68</v>
      </c>
      <c r="F127" s="26">
        <v>10</v>
      </c>
      <c r="G127" s="26" t="s">
        <v>99</v>
      </c>
      <c r="H127" s="16" t="s">
        <v>50</v>
      </c>
      <c r="I127" s="26">
        <v>180000</v>
      </c>
      <c r="J127" s="17">
        <v>160000</v>
      </c>
      <c r="K127" s="17">
        <f t="shared" si="2"/>
        <v>1600000</v>
      </c>
      <c r="L127" s="69">
        <f t="shared" si="3"/>
        <v>144000</v>
      </c>
    </row>
    <row r="128" spans="1:12" s="11" customFormat="1" ht="236.25">
      <c r="A128" s="20">
        <v>124</v>
      </c>
      <c r="B128" s="36" t="s">
        <v>348</v>
      </c>
      <c r="C128" s="25" t="s">
        <v>349</v>
      </c>
      <c r="D128" s="25" t="s">
        <v>350</v>
      </c>
      <c r="E128" s="28" t="s">
        <v>68</v>
      </c>
      <c r="F128" s="26">
        <v>5</v>
      </c>
      <c r="G128" s="26" t="s">
        <v>99</v>
      </c>
      <c r="H128" s="16" t="s">
        <v>50</v>
      </c>
      <c r="I128" s="26">
        <v>2325000</v>
      </c>
      <c r="J128" s="17">
        <v>2100000</v>
      </c>
      <c r="K128" s="17">
        <f t="shared" si="2"/>
        <v>10500000</v>
      </c>
      <c r="L128" s="69">
        <f t="shared" si="3"/>
        <v>1860000</v>
      </c>
    </row>
    <row r="129" spans="1:12" ht="157.5">
      <c r="A129" s="20">
        <v>125</v>
      </c>
      <c r="B129" s="21" t="s">
        <v>351</v>
      </c>
      <c r="C129" s="21" t="s">
        <v>352</v>
      </c>
      <c r="D129" s="21" t="s">
        <v>353</v>
      </c>
      <c r="E129" s="20" t="s">
        <v>68</v>
      </c>
      <c r="F129" s="16">
        <v>10</v>
      </c>
      <c r="G129" s="16" t="s">
        <v>114</v>
      </c>
      <c r="H129" s="16" t="s">
        <v>73</v>
      </c>
      <c r="I129" s="16">
        <v>375000</v>
      </c>
      <c r="J129" s="17">
        <v>400000</v>
      </c>
      <c r="K129" s="17">
        <f t="shared" si="2"/>
        <v>4000000</v>
      </c>
      <c r="L129" s="69">
        <f t="shared" si="3"/>
        <v>300000</v>
      </c>
    </row>
    <row r="130" spans="1:12" s="11" customFormat="1" ht="47.25">
      <c r="A130" s="20">
        <v>126</v>
      </c>
      <c r="B130" s="21" t="s">
        <v>354</v>
      </c>
      <c r="C130" s="25" t="s">
        <v>355</v>
      </c>
      <c r="D130" s="25" t="s">
        <v>356</v>
      </c>
      <c r="E130" s="20" t="s">
        <v>68</v>
      </c>
      <c r="F130" s="26">
        <v>6</v>
      </c>
      <c r="G130" s="26" t="s">
        <v>99</v>
      </c>
      <c r="H130" s="16" t="s">
        <v>50</v>
      </c>
      <c r="I130" s="26">
        <v>1320000</v>
      </c>
      <c r="J130" s="17">
        <v>1056000</v>
      </c>
      <c r="K130" s="17">
        <f t="shared" si="2"/>
        <v>6336000</v>
      </c>
      <c r="L130" s="69">
        <f t="shared" si="3"/>
        <v>1056000</v>
      </c>
    </row>
    <row r="131" spans="1:12" s="11" customFormat="1" ht="78.75">
      <c r="A131" s="20">
        <v>127</v>
      </c>
      <c r="B131" s="21" t="s">
        <v>357</v>
      </c>
      <c r="C131" s="25" t="s">
        <v>358</v>
      </c>
      <c r="D131" s="25" t="s">
        <v>359</v>
      </c>
      <c r="E131" s="20" t="s">
        <v>68</v>
      </c>
      <c r="F131" s="26">
        <v>20</v>
      </c>
      <c r="G131" s="26" t="s">
        <v>99</v>
      </c>
      <c r="H131" s="16" t="s">
        <v>50</v>
      </c>
      <c r="I131" s="26">
        <v>1290000</v>
      </c>
      <c r="J131" s="17">
        <v>1032000</v>
      </c>
      <c r="K131" s="17">
        <f t="shared" si="2"/>
        <v>20640000</v>
      </c>
      <c r="L131" s="69">
        <f t="shared" si="3"/>
        <v>1032000</v>
      </c>
    </row>
    <row r="132" spans="1:12" ht="126">
      <c r="A132" s="20">
        <v>128</v>
      </c>
      <c r="B132" s="21" t="s">
        <v>360</v>
      </c>
      <c r="C132" s="21" t="s">
        <v>360</v>
      </c>
      <c r="D132" s="21" t="s">
        <v>361</v>
      </c>
      <c r="E132" s="20" t="s">
        <v>65</v>
      </c>
      <c r="F132" s="16">
        <v>10</v>
      </c>
      <c r="G132" s="16" t="s">
        <v>362</v>
      </c>
      <c r="H132" s="16" t="s">
        <v>15</v>
      </c>
      <c r="I132" s="16">
        <v>1320000</v>
      </c>
      <c r="J132" s="17">
        <v>1056000</v>
      </c>
      <c r="K132" s="17">
        <f t="shared" si="2"/>
        <v>10560000</v>
      </c>
      <c r="L132" s="69">
        <f t="shared" si="3"/>
        <v>1056000</v>
      </c>
    </row>
    <row r="133" spans="1:12" ht="31.5">
      <c r="A133" s="20">
        <v>129</v>
      </c>
      <c r="B133" s="21" t="s">
        <v>363</v>
      </c>
      <c r="C133" s="21" t="s">
        <v>364</v>
      </c>
      <c r="D133" s="21" t="s">
        <v>365</v>
      </c>
      <c r="E133" s="20" t="s">
        <v>68</v>
      </c>
      <c r="F133" s="16">
        <v>10</v>
      </c>
      <c r="G133" s="16" t="s">
        <v>99</v>
      </c>
      <c r="H133" s="16" t="s">
        <v>50</v>
      </c>
      <c r="I133" s="16">
        <v>700000</v>
      </c>
      <c r="J133" s="17">
        <v>700000</v>
      </c>
      <c r="K133" s="17">
        <f t="shared" ref="K133:K196" si="4">F133*J133</f>
        <v>7000000</v>
      </c>
      <c r="L133" s="69">
        <f t="shared" si="3"/>
        <v>560000</v>
      </c>
    </row>
    <row r="134" spans="1:12" ht="63">
      <c r="A134" s="20">
        <v>130</v>
      </c>
      <c r="B134" s="21" t="s">
        <v>366</v>
      </c>
      <c r="C134" s="21" t="s">
        <v>367</v>
      </c>
      <c r="D134" s="21" t="s">
        <v>368</v>
      </c>
      <c r="E134" s="20" t="s">
        <v>68</v>
      </c>
      <c r="F134" s="16">
        <v>10</v>
      </c>
      <c r="G134" s="16" t="s">
        <v>114</v>
      </c>
      <c r="H134" s="16" t="s">
        <v>73</v>
      </c>
      <c r="I134" s="16">
        <v>310000</v>
      </c>
      <c r="J134" s="17">
        <v>350000</v>
      </c>
      <c r="K134" s="17">
        <f t="shared" si="4"/>
        <v>3500000</v>
      </c>
      <c r="L134" s="69">
        <f t="shared" ref="L134:L197" si="5">I134*80%</f>
        <v>248000</v>
      </c>
    </row>
    <row r="135" spans="1:12" ht="157.5">
      <c r="A135" s="20">
        <v>131</v>
      </c>
      <c r="B135" s="21" t="s">
        <v>369</v>
      </c>
      <c r="C135" s="21" t="s">
        <v>370</v>
      </c>
      <c r="D135" s="21" t="s">
        <v>371</v>
      </c>
      <c r="E135" s="20" t="s">
        <v>68</v>
      </c>
      <c r="F135" s="16">
        <v>20</v>
      </c>
      <c r="G135" s="16" t="s">
        <v>114</v>
      </c>
      <c r="H135" s="16" t="s">
        <v>73</v>
      </c>
      <c r="I135" s="16">
        <v>315000</v>
      </c>
      <c r="J135" s="17">
        <v>252000</v>
      </c>
      <c r="K135" s="17">
        <f t="shared" si="4"/>
        <v>5040000</v>
      </c>
      <c r="L135" s="69">
        <f t="shared" si="5"/>
        <v>252000</v>
      </c>
    </row>
    <row r="136" spans="1:12" ht="126">
      <c r="A136" s="20">
        <v>132</v>
      </c>
      <c r="B136" s="21" t="s">
        <v>372</v>
      </c>
      <c r="C136" s="21" t="s">
        <v>373</v>
      </c>
      <c r="D136" s="21" t="s">
        <v>374</v>
      </c>
      <c r="E136" s="20" t="s">
        <v>68</v>
      </c>
      <c r="F136" s="16">
        <v>10</v>
      </c>
      <c r="G136" s="16" t="s">
        <v>87</v>
      </c>
      <c r="H136" s="16" t="s">
        <v>81</v>
      </c>
      <c r="I136" s="16">
        <v>85000</v>
      </c>
      <c r="J136" s="17">
        <v>70000</v>
      </c>
      <c r="K136" s="17">
        <f t="shared" si="4"/>
        <v>700000</v>
      </c>
      <c r="L136" s="69">
        <f t="shared" si="5"/>
        <v>68000</v>
      </c>
    </row>
    <row r="137" spans="1:12" ht="173.25">
      <c r="A137" s="20">
        <v>133</v>
      </c>
      <c r="B137" s="21" t="s">
        <v>375</v>
      </c>
      <c r="C137" s="21" t="s">
        <v>376</v>
      </c>
      <c r="D137" s="21" t="s">
        <v>377</v>
      </c>
      <c r="E137" s="20" t="s">
        <v>68</v>
      </c>
      <c r="F137" s="16">
        <v>5</v>
      </c>
      <c r="G137" s="16" t="s">
        <v>138</v>
      </c>
      <c r="H137" s="16" t="s">
        <v>81</v>
      </c>
      <c r="I137" s="16">
        <v>195000</v>
      </c>
      <c r="J137" s="17">
        <v>185000</v>
      </c>
      <c r="K137" s="17">
        <f t="shared" si="4"/>
        <v>925000</v>
      </c>
      <c r="L137" s="69">
        <f t="shared" si="5"/>
        <v>156000</v>
      </c>
    </row>
    <row r="138" spans="1:12" s="11" customFormat="1" ht="31.5">
      <c r="A138" s="20">
        <v>134</v>
      </c>
      <c r="B138" s="21" t="s">
        <v>378</v>
      </c>
      <c r="C138" s="25" t="s">
        <v>379</v>
      </c>
      <c r="D138" s="25" t="s">
        <v>365</v>
      </c>
      <c r="E138" s="20" t="s">
        <v>68</v>
      </c>
      <c r="F138" s="26">
        <v>50</v>
      </c>
      <c r="G138" s="26" t="s">
        <v>99</v>
      </c>
      <c r="H138" s="16" t="s">
        <v>50</v>
      </c>
      <c r="I138" s="26">
        <v>530000</v>
      </c>
      <c r="J138" s="17">
        <v>424000</v>
      </c>
      <c r="K138" s="17">
        <f t="shared" si="4"/>
        <v>21200000</v>
      </c>
      <c r="L138" s="69">
        <f t="shared" si="5"/>
        <v>424000</v>
      </c>
    </row>
    <row r="139" spans="1:12" ht="78.75">
      <c r="A139" s="20">
        <v>135</v>
      </c>
      <c r="B139" s="21" t="s">
        <v>380</v>
      </c>
      <c r="C139" s="21" t="s">
        <v>381</v>
      </c>
      <c r="D139" s="21" t="s">
        <v>382</v>
      </c>
      <c r="E139" s="20" t="s">
        <v>65</v>
      </c>
      <c r="F139" s="16">
        <v>20</v>
      </c>
      <c r="G139" s="16" t="s">
        <v>114</v>
      </c>
      <c r="H139" s="16" t="s">
        <v>73</v>
      </c>
      <c r="I139" s="16">
        <v>535000</v>
      </c>
      <c r="J139" s="17">
        <v>610000</v>
      </c>
      <c r="K139" s="17">
        <f t="shared" si="4"/>
        <v>12200000</v>
      </c>
      <c r="L139" s="69">
        <f t="shared" si="5"/>
        <v>428000</v>
      </c>
    </row>
    <row r="140" spans="1:12" ht="171" customHeight="1">
      <c r="A140" s="20">
        <v>136</v>
      </c>
      <c r="B140" s="21" t="s">
        <v>383</v>
      </c>
      <c r="C140" s="21" t="s">
        <v>384</v>
      </c>
      <c r="D140" s="21" t="s">
        <v>385</v>
      </c>
      <c r="E140" s="20" t="s">
        <v>233</v>
      </c>
      <c r="F140" s="16">
        <v>10</v>
      </c>
      <c r="G140" s="16" t="s">
        <v>114</v>
      </c>
      <c r="H140" s="16" t="s">
        <v>73</v>
      </c>
      <c r="I140" s="16">
        <v>830000</v>
      </c>
      <c r="J140" s="17">
        <v>880000</v>
      </c>
      <c r="K140" s="17">
        <f t="shared" si="4"/>
        <v>8800000</v>
      </c>
      <c r="L140" s="69">
        <f t="shared" si="5"/>
        <v>664000</v>
      </c>
    </row>
    <row r="141" spans="1:12" ht="78.75">
      <c r="A141" s="20">
        <v>137</v>
      </c>
      <c r="B141" s="21" t="s">
        <v>386</v>
      </c>
      <c r="C141" s="21" t="s">
        <v>387</v>
      </c>
      <c r="D141" s="21" t="s">
        <v>388</v>
      </c>
      <c r="E141" s="20" t="s">
        <v>68</v>
      </c>
      <c r="F141" s="16">
        <v>10</v>
      </c>
      <c r="G141" s="16" t="s">
        <v>114</v>
      </c>
      <c r="H141" s="16" t="s">
        <v>73</v>
      </c>
      <c r="I141" s="16">
        <v>315000</v>
      </c>
      <c r="J141" s="17">
        <v>252000</v>
      </c>
      <c r="K141" s="17">
        <f t="shared" si="4"/>
        <v>2520000</v>
      </c>
      <c r="L141" s="69">
        <f t="shared" si="5"/>
        <v>252000</v>
      </c>
    </row>
    <row r="142" spans="1:12" ht="126">
      <c r="A142" s="20">
        <v>138</v>
      </c>
      <c r="B142" s="21" t="s">
        <v>389</v>
      </c>
      <c r="C142" s="21" t="s">
        <v>390</v>
      </c>
      <c r="D142" s="21" t="s">
        <v>391</v>
      </c>
      <c r="E142" s="20" t="s">
        <v>68</v>
      </c>
      <c r="F142" s="16">
        <v>10</v>
      </c>
      <c r="G142" s="16" t="s">
        <v>87</v>
      </c>
      <c r="H142" s="16" t="s">
        <v>81</v>
      </c>
      <c r="I142" s="16">
        <v>211000</v>
      </c>
      <c r="J142" s="17">
        <v>168800</v>
      </c>
      <c r="K142" s="17">
        <f t="shared" si="4"/>
        <v>1688000</v>
      </c>
      <c r="L142" s="69">
        <f t="shared" si="5"/>
        <v>168800</v>
      </c>
    </row>
    <row r="143" spans="1:12" ht="94.5">
      <c r="A143" s="20">
        <v>139</v>
      </c>
      <c r="B143" s="21" t="s">
        <v>392</v>
      </c>
      <c r="C143" s="21" t="s">
        <v>393</v>
      </c>
      <c r="D143" s="21" t="s">
        <v>394</v>
      </c>
      <c r="E143" s="20" t="s">
        <v>167</v>
      </c>
      <c r="F143" s="16">
        <v>25</v>
      </c>
      <c r="G143" s="16" t="s">
        <v>138</v>
      </c>
      <c r="H143" s="16" t="s">
        <v>160</v>
      </c>
      <c r="I143" s="16">
        <v>210000</v>
      </c>
      <c r="J143" s="17">
        <v>168000</v>
      </c>
      <c r="K143" s="17">
        <f t="shared" si="4"/>
        <v>4200000</v>
      </c>
      <c r="L143" s="69">
        <f t="shared" si="5"/>
        <v>168000</v>
      </c>
    </row>
    <row r="144" spans="1:12" ht="141.75">
      <c r="A144" s="20">
        <v>140</v>
      </c>
      <c r="B144" s="21" t="s">
        <v>395</v>
      </c>
      <c r="C144" s="21" t="s">
        <v>396</v>
      </c>
      <c r="D144" s="21" t="s">
        <v>397</v>
      </c>
      <c r="E144" s="20" t="s">
        <v>167</v>
      </c>
      <c r="F144" s="16">
        <v>25</v>
      </c>
      <c r="G144" s="16" t="s">
        <v>72</v>
      </c>
      <c r="H144" s="16" t="s">
        <v>73</v>
      </c>
      <c r="I144" s="16">
        <v>205000</v>
      </c>
      <c r="J144" s="17">
        <v>180000</v>
      </c>
      <c r="K144" s="17">
        <f t="shared" si="4"/>
        <v>4500000</v>
      </c>
      <c r="L144" s="69">
        <f t="shared" si="5"/>
        <v>164000</v>
      </c>
    </row>
    <row r="145" spans="1:12" s="11" customFormat="1" ht="63">
      <c r="A145" s="20">
        <v>141</v>
      </c>
      <c r="B145" s="24" t="s">
        <v>398</v>
      </c>
      <c r="C145" s="25" t="s">
        <v>399</v>
      </c>
      <c r="D145" s="25" t="s">
        <v>400</v>
      </c>
      <c r="E145" s="28" t="s">
        <v>68</v>
      </c>
      <c r="F145" s="26">
        <v>30</v>
      </c>
      <c r="G145" s="26" t="s">
        <v>87</v>
      </c>
      <c r="H145" s="16" t="s">
        <v>81</v>
      </c>
      <c r="I145" s="26">
        <v>195000</v>
      </c>
      <c r="J145" s="17">
        <v>156000</v>
      </c>
      <c r="K145" s="17">
        <f t="shared" si="4"/>
        <v>4680000</v>
      </c>
      <c r="L145" s="69">
        <f t="shared" si="5"/>
        <v>156000</v>
      </c>
    </row>
    <row r="146" spans="1:12" ht="126">
      <c r="A146" s="20">
        <v>142</v>
      </c>
      <c r="B146" s="21" t="s">
        <v>401</v>
      </c>
      <c r="C146" s="21" t="s">
        <v>402</v>
      </c>
      <c r="D146" s="21" t="s">
        <v>403</v>
      </c>
      <c r="E146" s="20" t="s">
        <v>167</v>
      </c>
      <c r="F146" s="16">
        <v>20</v>
      </c>
      <c r="G146" s="16" t="s">
        <v>99</v>
      </c>
      <c r="H146" s="16" t="s">
        <v>15</v>
      </c>
      <c r="I146" s="16">
        <v>99000</v>
      </c>
      <c r="J146" s="17">
        <v>95000</v>
      </c>
      <c r="K146" s="17">
        <f t="shared" si="4"/>
        <v>1900000</v>
      </c>
      <c r="L146" s="69">
        <f t="shared" si="5"/>
        <v>79200</v>
      </c>
    </row>
    <row r="147" spans="1:12" ht="110.25">
      <c r="A147" s="20">
        <v>143</v>
      </c>
      <c r="B147" s="21" t="s">
        <v>404</v>
      </c>
      <c r="C147" s="21" t="s">
        <v>405</v>
      </c>
      <c r="D147" s="21" t="s">
        <v>406</v>
      </c>
      <c r="E147" s="20" t="s">
        <v>167</v>
      </c>
      <c r="F147" s="16">
        <v>70</v>
      </c>
      <c r="G147" s="16" t="s">
        <v>138</v>
      </c>
      <c r="H147" s="16" t="s">
        <v>160</v>
      </c>
      <c r="I147" s="16">
        <v>290000</v>
      </c>
      <c r="J147" s="17">
        <v>232000</v>
      </c>
      <c r="K147" s="17">
        <f t="shared" si="4"/>
        <v>16240000</v>
      </c>
      <c r="L147" s="69">
        <f t="shared" si="5"/>
        <v>232000</v>
      </c>
    </row>
    <row r="148" spans="1:12" s="11" customFormat="1" ht="126">
      <c r="A148" s="20">
        <v>144</v>
      </c>
      <c r="B148" s="25" t="s">
        <v>407</v>
      </c>
      <c r="C148" s="25" t="s">
        <v>408</v>
      </c>
      <c r="D148" s="25" t="s">
        <v>409</v>
      </c>
      <c r="E148" s="28" t="s">
        <v>65</v>
      </c>
      <c r="F148" s="26">
        <v>60</v>
      </c>
      <c r="G148" s="26" t="s">
        <v>54</v>
      </c>
      <c r="H148" s="16" t="s">
        <v>15</v>
      </c>
      <c r="I148" s="26">
        <v>41000</v>
      </c>
      <c r="J148" s="17">
        <v>32800</v>
      </c>
      <c r="K148" s="17">
        <f t="shared" si="4"/>
        <v>1968000</v>
      </c>
      <c r="L148" s="69">
        <f t="shared" si="5"/>
        <v>32800</v>
      </c>
    </row>
    <row r="149" spans="1:12" ht="47.25">
      <c r="A149" s="20">
        <v>145</v>
      </c>
      <c r="B149" s="21" t="s">
        <v>410</v>
      </c>
      <c r="C149" s="21" t="s">
        <v>411</v>
      </c>
      <c r="D149" s="21" t="s">
        <v>412</v>
      </c>
      <c r="E149" s="20" t="s">
        <v>68</v>
      </c>
      <c r="F149" s="16">
        <v>20</v>
      </c>
      <c r="G149" s="16" t="s">
        <v>138</v>
      </c>
      <c r="H149" s="16" t="s">
        <v>160</v>
      </c>
      <c r="I149" s="16">
        <v>135000</v>
      </c>
      <c r="J149" s="17">
        <v>108000</v>
      </c>
      <c r="K149" s="17">
        <f t="shared" si="4"/>
        <v>2160000</v>
      </c>
      <c r="L149" s="69">
        <f t="shared" si="5"/>
        <v>108000</v>
      </c>
    </row>
    <row r="150" spans="1:12" ht="243.95" customHeight="1">
      <c r="A150" s="20">
        <v>146</v>
      </c>
      <c r="B150" s="25" t="s">
        <v>413</v>
      </c>
      <c r="C150" s="21" t="s">
        <v>414</v>
      </c>
      <c r="D150" s="21" t="s">
        <v>415</v>
      </c>
      <c r="E150" s="20" t="s">
        <v>233</v>
      </c>
      <c r="F150" s="16">
        <v>3</v>
      </c>
      <c r="G150" s="16" t="s">
        <v>99</v>
      </c>
      <c r="H150" s="16" t="s">
        <v>50</v>
      </c>
      <c r="I150" s="16">
        <v>1820000</v>
      </c>
      <c r="J150" s="17">
        <v>1650000</v>
      </c>
      <c r="K150" s="17">
        <f t="shared" si="4"/>
        <v>4950000</v>
      </c>
      <c r="L150" s="69">
        <f t="shared" si="5"/>
        <v>1456000</v>
      </c>
    </row>
    <row r="151" spans="1:12" ht="31.5">
      <c r="A151" s="20">
        <v>147</v>
      </c>
      <c r="B151" s="21" t="s">
        <v>416</v>
      </c>
      <c r="C151" s="21" t="s">
        <v>417</v>
      </c>
      <c r="D151" s="21"/>
      <c r="E151" s="20" t="s">
        <v>418</v>
      </c>
      <c r="F151" s="16">
        <v>3</v>
      </c>
      <c r="G151" s="16" t="s">
        <v>54</v>
      </c>
      <c r="H151" s="16" t="s">
        <v>15</v>
      </c>
      <c r="I151" s="16">
        <v>515000</v>
      </c>
      <c r="J151" s="17">
        <v>445000</v>
      </c>
      <c r="K151" s="17">
        <f t="shared" si="4"/>
        <v>1335000</v>
      </c>
      <c r="L151" s="69">
        <f t="shared" si="5"/>
        <v>412000</v>
      </c>
    </row>
    <row r="152" spans="1:12" ht="31.5">
      <c r="A152" s="20">
        <v>148</v>
      </c>
      <c r="B152" s="21" t="s">
        <v>419</v>
      </c>
      <c r="C152" s="21" t="s">
        <v>420</v>
      </c>
      <c r="D152" s="21"/>
      <c r="E152" s="20" t="s">
        <v>418</v>
      </c>
      <c r="F152" s="16">
        <v>3</v>
      </c>
      <c r="G152" s="16" t="s">
        <v>54</v>
      </c>
      <c r="H152" s="16" t="s">
        <v>15</v>
      </c>
      <c r="I152" s="16">
        <v>490000</v>
      </c>
      <c r="J152" s="17">
        <v>392000</v>
      </c>
      <c r="K152" s="17">
        <f t="shared" si="4"/>
        <v>1176000</v>
      </c>
      <c r="L152" s="69">
        <f t="shared" si="5"/>
        <v>392000</v>
      </c>
    </row>
    <row r="153" spans="1:12" ht="31.5">
      <c r="A153" s="20">
        <v>149</v>
      </c>
      <c r="B153" s="21" t="s">
        <v>421</v>
      </c>
      <c r="C153" s="21" t="s">
        <v>422</v>
      </c>
      <c r="D153" s="21"/>
      <c r="E153" s="20" t="s">
        <v>418</v>
      </c>
      <c r="F153" s="16">
        <v>3</v>
      </c>
      <c r="G153" s="16" t="s">
        <v>54</v>
      </c>
      <c r="H153" s="16" t="s">
        <v>15</v>
      </c>
      <c r="I153" s="16">
        <v>420000</v>
      </c>
      <c r="J153" s="17">
        <v>336000</v>
      </c>
      <c r="K153" s="17">
        <f t="shared" si="4"/>
        <v>1008000</v>
      </c>
      <c r="L153" s="69">
        <f t="shared" si="5"/>
        <v>336000</v>
      </c>
    </row>
    <row r="154" spans="1:12">
      <c r="A154" s="20">
        <v>150</v>
      </c>
      <c r="B154" s="21" t="s">
        <v>423</v>
      </c>
      <c r="C154" s="21" t="s">
        <v>423</v>
      </c>
      <c r="D154" s="21"/>
      <c r="E154" s="20" t="s">
        <v>156</v>
      </c>
      <c r="F154" s="16">
        <v>5</v>
      </c>
      <c r="G154" s="16" t="s">
        <v>54</v>
      </c>
      <c r="H154" s="16" t="s">
        <v>81</v>
      </c>
      <c r="I154" s="16">
        <v>610000</v>
      </c>
      <c r="J154" s="17">
        <v>488000</v>
      </c>
      <c r="K154" s="17">
        <f t="shared" si="4"/>
        <v>2440000</v>
      </c>
      <c r="L154" s="69">
        <f t="shared" si="5"/>
        <v>488000</v>
      </c>
    </row>
    <row r="155" spans="1:12" ht="15.75" customHeight="1">
      <c r="A155" s="20">
        <v>151</v>
      </c>
      <c r="B155" s="21" t="s">
        <v>424</v>
      </c>
      <c r="C155" s="21" t="s">
        <v>425</v>
      </c>
      <c r="D155" s="21"/>
      <c r="E155" s="20" t="s">
        <v>289</v>
      </c>
      <c r="F155" s="16">
        <v>100</v>
      </c>
      <c r="G155" s="16" t="s">
        <v>426</v>
      </c>
      <c r="H155" s="16" t="s">
        <v>15</v>
      </c>
      <c r="I155" s="16">
        <v>12000</v>
      </c>
      <c r="J155" s="17">
        <v>9600</v>
      </c>
      <c r="K155" s="17">
        <f t="shared" si="4"/>
        <v>960000</v>
      </c>
      <c r="L155" s="69">
        <f t="shared" si="5"/>
        <v>9600</v>
      </c>
    </row>
    <row r="156" spans="1:12">
      <c r="A156" s="20">
        <v>152</v>
      </c>
      <c r="B156" s="21" t="s">
        <v>427</v>
      </c>
      <c r="C156" s="21" t="s">
        <v>428</v>
      </c>
      <c r="D156" s="21"/>
      <c r="E156" s="20" t="s">
        <v>429</v>
      </c>
      <c r="F156" s="16">
        <v>5</v>
      </c>
      <c r="G156" s="16" t="s">
        <v>54</v>
      </c>
      <c r="H156" s="16" t="s">
        <v>15</v>
      </c>
      <c r="I156" s="16">
        <v>11000</v>
      </c>
      <c r="J156" s="17">
        <v>8800</v>
      </c>
      <c r="K156" s="17">
        <f t="shared" si="4"/>
        <v>44000</v>
      </c>
      <c r="L156" s="69">
        <f t="shared" si="5"/>
        <v>8800</v>
      </c>
    </row>
    <row r="157" spans="1:12">
      <c r="A157" s="20">
        <v>153</v>
      </c>
      <c r="B157" s="21" t="s">
        <v>430</v>
      </c>
      <c r="C157" s="21" t="s">
        <v>431</v>
      </c>
      <c r="D157" s="21"/>
      <c r="E157" s="20" t="s">
        <v>312</v>
      </c>
      <c r="F157" s="16">
        <v>91</v>
      </c>
      <c r="G157" s="16" t="s">
        <v>54</v>
      </c>
      <c r="H157" s="16" t="s">
        <v>15</v>
      </c>
      <c r="I157" s="16">
        <v>40000</v>
      </c>
      <c r="J157" s="17">
        <v>32000</v>
      </c>
      <c r="K157" s="17">
        <f t="shared" si="4"/>
        <v>2912000</v>
      </c>
      <c r="L157" s="69">
        <f t="shared" si="5"/>
        <v>32000</v>
      </c>
    </row>
    <row r="158" spans="1:12" ht="15.75" customHeight="1">
      <c r="A158" s="20">
        <v>154</v>
      </c>
      <c r="B158" s="21" t="s">
        <v>432</v>
      </c>
      <c r="C158" s="21" t="s">
        <v>433</v>
      </c>
      <c r="D158" s="21" t="s">
        <v>434</v>
      </c>
      <c r="E158" s="20" t="s">
        <v>435</v>
      </c>
      <c r="F158" s="16">
        <v>20</v>
      </c>
      <c r="G158" s="16" t="s">
        <v>436</v>
      </c>
      <c r="H158" s="16" t="s">
        <v>15</v>
      </c>
      <c r="I158" s="16">
        <v>68000</v>
      </c>
      <c r="J158" s="17">
        <v>54400</v>
      </c>
      <c r="K158" s="17">
        <f t="shared" si="4"/>
        <v>1088000</v>
      </c>
      <c r="L158" s="69">
        <f t="shared" si="5"/>
        <v>54400</v>
      </c>
    </row>
    <row r="159" spans="1:12" ht="15.75" customHeight="1">
      <c r="A159" s="20">
        <v>155</v>
      </c>
      <c r="B159" s="21" t="s">
        <v>437</v>
      </c>
      <c r="C159" s="21" t="s">
        <v>438</v>
      </c>
      <c r="D159" s="21" t="s">
        <v>434</v>
      </c>
      <c r="E159" s="20" t="s">
        <v>435</v>
      </c>
      <c r="F159" s="16">
        <v>20</v>
      </c>
      <c r="G159" s="16" t="s">
        <v>436</v>
      </c>
      <c r="H159" s="16" t="s">
        <v>15</v>
      </c>
      <c r="I159" s="16">
        <v>85000</v>
      </c>
      <c r="J159" s="17">
        <v>68000</v>
      </c>
      <c r="K159" s="17">
        <f t="shared" si="4"/>
        <v>1360000</v>
      </c>
      <c r="L159" s="69">
        <f t="shared" si="5"/>
        <v>68000</v>
      </c>
    </row>
    <row r="160" spans="1:12" ht="15.75" customHeight="1">
      <c r="A160" s="20">
        <v>156</v>
      </c>
      <c r="B160" s="21" t="s">
        <v>439</v>
      </c>
      <c r="C160" s="21" t="s">
        <v>440</v>
      </c>
      <c r="D160" s="21" t="s">
        <v>434</v>
      </c>
      <c r="E160" s="20" t="s">
        <v>435</v>
      </c>
      <c r="F160" s="16">
        <v>20</v>
      </c>
      <c r="G160" s="16" t="s">
        <v>436</v>
      </c>
      <c r="H160" s="16" t="s">
        <v>15</v>
      </c>
      <c r="I160" s="16">
        <v>120000</v>
      </c>
      <c r="J160" s="17">
        <v>96000</v>
      </c>
      <c r="K160" s="17">
        <f t="shared" si="4"/>
        <v>1920000</v>
      </c>
      <c r="L160" s="69">
        <f t="shared" si="5"/>
        <v>96000</v>
      </c>
    </row>
    <row r="161" spans="1:12" ht="15.75" customHeight="1">
      <c r="A161" s="20">
        <v>157</v>
      </c>
      <c r="B161" s="21" t="s">
        <v>441</v>
      </c>
      <c r="C161" s="21" t="s">
        <v>442</v>
      </c>
      <c r="D161" s="21" t="s">
        <v>434</v>
      </c>
      <c r="E161" s="20" t="s">
        <v>435</v>
      </c>
      <c r="F161" s="16">
        <v>20</v>
      </c>
      <c r="G161" s="16" t="s">
        <v>436</v>
      </c>
      <c r="H161" s="16" t="s">
        <v>15</v>
      </c>
      <c r="I161" s="16">
        <v>194000</v>
      </c>
      <c r="J161" s="17">
        <v>155200</v>
      </c>
      <c r="K161" s="17">
        <f t="shared" si="4"/>
        <v>3104000</v>
      </c>
      <c r="L161" s="69">
        <f t="shared" si="5"/>
        <v>155200</v>
      </c>
    </row>
    <row r="162" spans="1:12" ht="60" customHeight="1">
      <c r="A162" s="20">
        <v>158</v>
      </c>
      <c r="B162" s="21" t="s">
        <v>443</v>
      </c>
      <c r="C162" s="21" t="s">
        <v>444</v>
      </c>
      <c r="D162" s="21" t="s">
        <v>445</v>
      </c>
      <c r="E162" s="20" t="s">
        <v>220</v>
      </c>
      <c r="F162" s="16">
        <v>40</v>
      </c>
      <c r="G162" s="16" t="s">
        <v>338</v>
      </c>
      <c r="H162" s="16" t="s">
        <v>15</v>
      </c>
      <c r="I162" s="16">
        <v>107000</v>
      </c>
      <c r="J162" s="17">
        <v>85600</v>
      </c>
      <c r="K162" s="17">
        <f t="shared" si="4"/>
        <v>3424000</v>
      </c>
      <c r="L162" s="69">
        <f t="shared" si="5"/>
        <v>85600</v>
      </c>
    </row>
    <row r="163" spans="1:12" s="11" customFormat="1" ht="141.75">
      <c r="A163" s="20">
        <v>159</v>
      </c>
      <c r="B163" s="27" t="s">
        <v>446</v>
      </c>
      <c r="C163" s="25" t="s">
        <v>447</v>
      </c>
      <c r="D163" s="25" t="s">
        <v>448</v>
      </c>
      <c r="E163" s="28" t="s">
        <v>449</v>
      </c>
      <c r="F163" s="26">
        <v>10</v>
      </c>
      <c r="G163" s="26" t="s">
        <v>54</v>
      </c>
      <c r="H163" s="16" t="s">
        <v>15</v>
      </c>
      <c r="I163" s="26">
        <v>52000</v>
      </c>
      <c r="J163" s="17">
        <v>41600</v>
      </c>
      <c r="K163" s="17">
        <f t="shared" si="4"/>
        <v>416000</v>
      </c>
      <c r="L163" s="69">
        <f t="shared" si="5"/>
        <v>41600</v>
      </c>
    </row>
    <row r="164" spans="1:12" s="11" customFormat="1">
      <c r="A164" s="20">
        <v>160</v>
      </c>
      <c r="B164" s="23" t="s">
        <v>450</v>
      </c>
      <c r="C164" s="25" t="s">
        <v>451</v>
      </c>
      <c r="D164" s="37" t="s">
        <v>452</v>
      </c>
      <c r="E164" s="31" t="s">
        <v>312</v>
      </c>
      <c r="F164" s="26">
        <v>16</v>
      </c>
      <c r="G164" s="26" t="s">
        <v>54</v>
      </c>
      <c r="H164" s="16" t="s">
        <v>15</v>
      </c>
      <c r="I164" s="26">
        <v>61000</v>
      </c>
      <c r="J164" s="17">
        <v>48800</v>
      </c>
      <c r="K164" s="17">
        <f t="shared" si="4"/>
        <v>780800</v>
      </c>
      <c r="L164" s="69">
        <f t="shared" si="5"/>
        <v>48800</v>
      </c>
    </row>
    <row r="165" spans="1:12">
      <c r="A165" s="20">
        <v>161</v>
      </c>
      <c r="B165" s="21" t="s">
        <v>453</v>
      </c>
      <c r="C165" s="21" t="s">
        <v>454</v>
      </c>
      <c r="D165" s="37" t="s">
        <v>452</v>
      </c>
      <c r="E165" s="20" t="s">
        <v>449</v>
      </c>
      <c r="F165" s="16">
        <v>100</v>
      </c>
      <c r="G165" s="16" t="s">
        <v>54</v>
      </c>
      <c r="H165" s="16" t="s">
        <v>15</v>
      </c>
      <c r="I165" s="16">
        <v>58000</v>
      </c>
      <c r="J165" s="17">
        <v>46400</v>
      </c>
      <c r="K165" s="17">
        <f t="shared" si="4"/>
        <v>4640000</v>
      </c>
      <c r="L165" s="69">
        <f t="shared" si="5"/>
        <v>46400</v>
      </c>
    </row>
    <row r="166" spans="1:12" s="11" customFormat="1">
      <c r="A166" s="20">
        <v>162</v>
      </c>
      <c r="B166" s="34" t="s">
        <v>455</v>
      </c>
      <c r="C166" s="21" t="s">
        <v>456</v>
      </c>
      <c r="D166" s="37" t="s">
        <v>452</v>
      </c>
      <c r="E166" s="28" t="s">
        <v>220</v>
      </c>
      <c r="F166" s="26">
        <v>40</v>
      </c>
      <c r="G166" s="26" t="s">
        <v>54</v>
      </c>
      <c r="H166" s="16" t="s">
        <v>15</v>
      </c>
      <c r="I166" s="26">
        <v>5000</v>
      </c>
      <c r="J166" s="17">
        <v>4000</v>
      </c>
      <c r="K166" s="17">
        <f t="shared" si="4"/>
        <v>160000</v>
      </c>
      <c r="L166" s="69">
        <f t="shared" si="5"/>
        <v>4000</v>
      </c>
    </row>
    <row r="167" spans="1:12" s="11" customFormat="1">
      <c r="A167" s="20">
        <v>163</v>
      </c>
      <c r="B167" s="34" t="s">
        <v>455</v>
      </c>
      <c r="C167" s="21" t="s">
        <v>457</v>
      </c>
      <c r="D167" s="37" t="s">
        <v>452</v>
      </c>
      <c r="E167" s="28" t="s">
        <v>220</v>
      </c>
      <c r="F167" s="26">
        <v>20</v>
      </c>
      <c r="G167" s="26" t="s">
        <v>54</v>
      </c>
      <c r="H167" s="16" t="s">
        <v>15</v>
      </c>
      <c r="I167" s="26">
        <v>5000</v>
      </c>
      <c r="J167" s="17">
        <v>4000</v>
      </c>
      <c r="K167" s="17">
        <f t="shared" si="4"/>
        <v>80000</v>
      </c>
      <c r="L167" s="69">
        <f t="shared" si="5"/>
        <v>4000</v>
      </c>
    </row>
    <row r="168" spans="1:12" ht="69" customHeight="1">
      <c r="A168" s="20">
        <v>164</v>
      </c>
      <c r="B168" s="21" t="s">
        <v>458</v>
      </c>
      <c r="C168" s="21" t="s">
        <v>459</v>
      </c>
      <c r="D168" s="21" t="s">
        <v>460</v>
      </c>
      <c r="E168" s="20" t="s">
        <v>435</v>
      </c>
      <c r="F168" s="16">
        <v>60</v>
      </c>
      <c r="G168" s="16" t="s">
        <v>426</v>
      </c>
      <c r="H168" s="16" t="s">
        <v>15</v>
      </c>
      <c r="I168" s="16">
        <v>47000</v>
      </c>
      <c r="J168" s="17">
        <v>38000</v>
      </c>
      <c r="K168" s="17">
        <f t="shared" si="4"/>
        <v>2280000</v>
      </c>
      <c r="L168" s="69">
        <f t="shared" si="5"/>
        <v>37600</v>
      </c>
    </row>
    <row r="169" spans="1:12" ht="51.95" customHeight="1">
      <c r="A169" s="20">
        <v>165</v>
      </c>
      <c r="B169" s="21" t="s">
        <v>461</v>
      </c>
      <c r="C169" s="21" t="s">
        <v>462</v>
      </c>
      <c r="D169" s="21" t="s">
        <v>463</v>
      </c>
      <c r="E169" s="20" t="s">
        <v>68</v>
      </c>
      <c r="F169" s="16">
        <v>40</v>
      </c>
      <c r="G169" s="16" t="s">
        <v>54</v>
      </c>
      <c r="H169" s="16" t="s">
        <v>15</v>
      </c>
      <c r="I169" s="16">
        <v>205000</v>
      </c>
      <c r="J169" s="17">
        <v>164000</v>
      </c>
      <c r="K169" s="17">
        <f t="shared" si="4"/>
        <v>6560000</v>
      </c>
      <c r="L169" s="69">
        <f t="shared" si="5"/>
        <v>164000</v>
      </c>
    </row>
    <row r="170" spans="1:12" ht="32.1" customHeight="1">
      <c r="A170" s="20">
        <v>166</v>
      </c>
      <c r="B170" s="21" t="s">
        <v>464</v>
      </c>
      <c r="C170" s="21" t="s">
        <v>465</v>
      </c>
      <c r="D170" s="21" t="s">
        <v>466</v>
      </c>
      <c r="E170" s="20" t="s">
        <v>68</v>
      </c>
      <c r="F170" s="16">
        <v>40</v>
      </c>
      <c r="G170" s="16" t="s">
        <v>338</v>
      </c>
      <c r="H170" s="16" t="s">
        <v>15</v>
      </c>
      <c r="I170" s="16">
        <v>39000</v>
      </c>
      <c r="J170" s="17">
        <v>35000</v>
      </c>
      <c r="K170" s="17">
        <f t="shared" si="4"/>
        <v>1400000</v>
      </c>
      <c r="L170" s="69">
        <f t="shared" si="5"/>
        <v>31200</v>
      </c>
    </row>
    <row r="171" spans="1:12" ht="35.1" customHeight="1">
      <c r="A171" s="20">
        <v>167</v>
      </c>
      <c r="B171" s="21" t="s">
        <v>467</v>
      </c>
      <c r="C171" s="21" t="s">
        <v>468</v>
      </c>
      <c r="D171" s="21" t="s">
        <v>469</v>
      </c>
      <c r="E171" s="20" t="s">
        <v>68</v>
      </c>
      <c r="F171" s="16">
        <v>30</v>
      </c>
      <c r="G171" s="16" t="s">
        <v>338</v>
      </c>
      <c r="H171" s="16" t="s">
        <v>15</v>
      </c>
      <c r="I171" s="16">
        <v>145000</v>
      </c>
      <c r="J171" s="17">
        <v>116000</v>
      </c>
      <c r="K171" s="17">
        <f t="shared" si="4"/>
        <v>3480000</v>
      </c>
      <c r="L171" s="69">
        <f t="shared" si="5"/>
        <v>116000</v>
      </c>
    </row>
    <row r="172" spans="1:12" s="11" customFormat="1" ht="110.25">
      <c r="A172" s="20">
        <v>168</v>
      </c>
      <c r="B172" s="36" t="s">
        <v>470</v>
      </c>
      <c r="C172" s="25" t="s">
        <v>471</v>
      </c>
      <c r="D172" s="25" t="s">
        <v>472</v>
      </c>
      <c r="E172" s="28" t="s">
        <v>167</v>
      </c>
      <c r="F172" s="26">
        <v>70</v>
      </c>
      <c r="G172" s="26" t="s">
        <v>473</v>
      </c>
      <c r="H172" s="26" t="s">
        <v>15</v>
      </c>
      <c r="I172" s="26">
        <v>37000</v>
      </c>
      <c r="J172" s="17">
        <v>29600</v>
      </c>
      <c r="K172" s="17">
        <f t="shared" si="4"/>
        <v>2072000</v>
      </c>
      <c r="L172" s="69">
        <f t="shared" si="5"/>
        <v>29600</v>
      </c>
    </row>
    <row r="173" spans="1:12" s="11" customFormat="1" ht="63">
      <c r="A173" s="20">
        <v>169</v>
      </c>
      <c r="B173" s="23" t="s">
        <v>474</v>
      </c>
      <c r="C173" s="21" t="s">
        <v>475</v>
      </c>
      <c r="D173" s="21" t="s">
        <v>476</v>
      </c>
      <c r="E173" s="28" t="s">
        <v>477</v>
      </c>
      <c r="F173" s="26">
        <v>40</v>
      </c>
      <c r="G173" s="26" t="s">
        <v>478</v>
      </c>
      <c r="H173" s="26" t="s">
        <v>15</v>
      </c>
      <c r="I173" s="26">
        <v>15000</v>
      </c>
      <c r="J173" s="17">
        <v>20000</v>
      </c>
      <c r="K173" s="17">
        <f t="shared" si="4"/>
        <v>800000</v>
      </c>
      <c r="L173" s="69">
        <f t="shared" si="5"/>
        <v>12000</v>
      </c>
    </row>
    <row r="174" spans="1:12" ht="15.75" customHeight="1">
      <c r="A174" s="20">
        <v>170</v>
      </c>
      <c r="B174" s="21" t="s">
        <v>479</v>
      </c>
      <c r="C174" s="21" t="s">
        <v>480</v>
      </c>
      <c r="D174" s="21"/>
      <c r="E174" s="20" t="s">
        <v>435</v>
      </c>
      <c r="F174" s="16">
        <v>100</v>
      </c>
      <c r="G174" s="16" t="s">
        <v>54</v>
      </c>
      <c r="H174" s="16" t="s">
        <v>15</v>
      </c>
      <c r="I174" s="16">
        <v>3000</v>
      </c>
      <c r="J174" s="17">
        <v>2400</v>
      </c>
      <c r="K174" s="17">
        <f t="shared" si="4"/>
        <v>240000</v>
      </c>
      <c r="L174" s="69">
        <f t="shared" si="5"/>
        <v>2400</v>
      </c>
    </row>
    <row r="175" spans="1:12" ht="33.950000000000003" customHeight="1">
      <c r="A175" s="20">
        <v>171</v>
      </c>
      <c r="B175" s="21" t="s">
        <v>481</v>
      </c>
      <c r="C175" s="21" t="s">
        <v>482</v>
      </c>
      <c r="D175" s="21" t="s">
        <v>483</v>
      </c>
      <c r="E175" s="20" t="s">
        <v>167</v>
      </c>
      <c r="F175" s="16">
        <v>20</v>
      </c>
      <c r="G175" s="16" t="s">
        <v>72</v>
      </c>
      <c r="H175" s="16" t="s">
        <v>73</v>
      </c>
      <c r="I175" s="16">
        <v>59000</v>
      </c>
      <c r="J175" s="17">
        <v>47200</v>
      </c>
      <c r="K175" s="17">
        <f t="shared" si="4"/>
        <v>944000</v>
      </c>
      <c r="L175" s="69">
        <f t="shared" si="5"/>
        <v>47200</v>
      </c>
    </row>
    <row r="176" spans="1:12" ht="15.75" customHeight="1">
      <c r="A176" s="20">
        <v>172</v>
      </c>
      <c r="B176" s="21" t="s">
        <v>484</v>
      </c>
      <c r="C176" s="21" t="s">
        <v>485</v>
      </c>
      <c r="D176" s="21" t="s">
        <v>486</v>
      </c>
      <c r="E176" s="20" t="s">
        <v>167</v>
      </c>
      <c r="F176" s="16">
        <v>20</v>
      </c>
      <c r="G176" s="16" t="s">
        <v>72</v>
      </c>
      <c r="H176" s="16" t="s">
        <v>73</v>
      </c>
      <c r="I176" s="16">
        <v>80000</v>
      </c>
      <c r="J176" s="17">
        <v>64000</v>
      </c>
      <c r="K176" s="17">
        <f t="shared" si="4"/>
        <v>1280000</v>
      </c>
      <c r="L176" s="69">
        <f t="shared" si="5"/>
        <v>64000</v>
      </c>
    </row>
    <row r="177" spans="1:12">
      <c r="A177" s="20">
        <v>173</v>
      </c>
      <c r="B177" s="21" t="s">
        <v>487</v>
      </c>
      <c r="C177" s="21" t="s">
        <v>488</v>
      </c>
      <c r="D177" s="21"/>
      <c r="E177" s="20" t="s">
        <v>68</v>
      </c>
      <c r="F177" s="16">
        <v>100</v>
      </c>
      <c r="G177" s="16" t="s">
        <v>338</v>
      </c>
      <c r="H177" s="16" t="s">
        <v>15</v>
      </c>
      <c r="I177" s="16">
        <v>20000</v>
      </c>
      <c r="J177" s="17">
        <v>16000</v>
      </c>
      <c r="K177" s="17">
        <f t="shared" si="4"/>
        <v>1600000</v>
      </c>
      <c r="L177" s="69">
        <f t="shared" si="5"/>
        <v>16000</v>
      </c>
    </row>
    <row r="178" spans="1:12" ht="63">
      <c r="A178" s="20">
        <v>174</v>
      </c>
      <c r="B178" s="21" t="s">
        <v>489</v>
      </c>
      <c r="C178" s="21" t="s">
        <v>490</v>
      </c>
      <c r="D178" s="21" t="s">
        <v>491</v>
      </c>
      <c r="E178" s="20" t="s">
        <v>68</v>
      </c>
      <c r="F178" s="16">
        <v>60</v>
      </c>
      <c r="G178" s="16" t="s">
        <v>338</v>
      </c>
      <c r="H178" s="16" t="s">
        <v>15</v>
      </c>
      <c r="I178" s="16">
        <v>159000</v>
      </c>
      <c r="J178" s="17">
        <v>127200</v>
      </c>
      <c r="K178" s="17">
        <f t="shared" si="4"/>
        <v>7632000</v>
      </c>
      <c r="L178" s="69">
        <f t="shared" si="5"/>
        <v>127200</v>
      </c>
    </row>
    <row r="179" spans="1:12" s="11" customFormat="1" ht="31.5">
      <c r="A179" s="20">
        <v>175</v>
      </c>
      <c r="B179" s="27" t="s">
        <v>492</v>
      </c>
      <c r="C179" s="25" t="s">
        <v>493</v>
      </c>
      <c r="D179" s="25" t="s">
        <v>494</v>
      </c>
      <c r="E179" s="28" t="s">
        <v>167</v>
      </c>
      <c r="F179" s="26">
        <v>10</v>
      </c>
      <c r="G179" s="26" t="s">
        <v>338</v>
      </c>
      <c r="H179" s="26" t="s">
        <v>15</v>
      </c>
      <c r="I179" s="26">
        <v>22000</v>
      </c>
      <c r="J179" s="17">
        <v>30000</v>
      </c>
      <c r="K179" s="17">
        <f t="shared" si="4"/>
        <v>300000</v>
      </c>
      <c r="L179" s="69">
        <f t="shared" si="5"/>
        <v>17600</v>
      </c>
    </row>
    <row r="180" spans="1:12" s="11" customFormat="1" ht="31.5">
      <c r="A180" s="20">
        <v>176</v>
      </c>
      <c r="B180" s="27" t="s">
        <v>495</v>
      </c>
      <c r="C180" s="25" t="s">
        <v>496</v>
      </c>
      <c r="D180" s="25" t="s">
        <v>494</v>
      </c>
      <c r="E180" s="28" t="s">
        <v>167</v>
      </c>
      <c r="F180" s="26">
        <v>10</v>
      </c>
      <c r="G180" s="26" t="s">
        <v>338</v>
      </c>
      <c r="H180" s="26" t="s">
        <v>15</v>
      </c>
      <c r="I180" s="26">
        <v>40000</v>
      </c>
      <c r="J180" s="17">
        <v>30000</v>
      </c>
      <c r="K180" s="17">
        <f t="shared" si="4"/>
        <v>300000</v>
      </c>
      <c r="L180" s="69">
        <f t="shared" si="5"/>
        <v>32000</v>
      </c>
    </row>
    <row r="181" spans="1:12" ht="15.75" customHeight="1">
      <c r="A181" s="20">
        <v>177</v>
      </c>
      <c r="B181" s="25" t="s">
        <v>497</v>
      </c>
      <c r="C181" s="21" t="s">
        <v>498</v>
      </c>
      <c r="D181" s="21" t="s">
        <v>499</v>
      </c>
      <c r="E181" s="20" t="s">
        <v>65</v>
      </c>
      <c r="F181" s="16">
        <v>20</v>
      </c>
      <c r="G181" s="16" t="s">
        <v>338</v>
      </c>
      <c r="H181" s="16" t="s">
        <v>15</v>
      </c>
      <c r="I181" s="16">
        <v>83000</v>
      </c>
      <c r="J181" s="17">
        <v>66400</v>
      </c>
      <c r="K181" s="17">
        <f t="shared" si="4"/>
        <v>1328000</v>
      </c>
      <c r="L181" s="69">
        <f t="shared" si="5"/>
        <v>66400</v>
      </c>
    </row>
    <row r="182" spans="1:12" ht="60.75" customHeight="1">
      <c r="A182" s="20">
        <v>178</v>
      </c>
      <c r="B182" s="21" t="s">
        <v>500</v>
      </c>
      <c r="C182" s="21" t="s">
        <v>501</v>
      </c>
      <c r="D182" s="21" t="s">
        <v>1436</v>
      </c>
      <c r="E182" s="20" t="s">
        <v>68</v>
      </c>
      <c r="F182" s="16">
        <v>50</v>
      </c>
      <c r="G182" s="16" t="s">
        <v>338</v>
      </c>
      <c r="H182" s="16" t="s">
        <v>15</v>
      </c>
      <c r="I182" s="16">
        <v>42000</v>
      </c>
      <c r="J182" s="17">
        <v>40000</v>
      </c>
      <c r="K182" s="17">
        <f t="shared" si="4"/>
        <v>2000000</v>
      </c>
      <c r="L182" s="69">
        <f t="shared" si="5"/>
        <v>33600</v>
      </c>
    </row>
    <row r="183" spans="1:12" ht="35.1" customHeight="1">
      <c r="A183" s="20">
        <v>179</v>
      </c>
      <c r="B183" s="21" t="s">
        <v>502</v>
      </c>
      <c r="C183" s="21" t="s">
        <v>503</v>
      </c>
      <c r="D183" s="21" t="s">
        <v>504</v>
      </c>
      <c r="E183" s="20" t="s">
        <v>68</v>
      </c>
      <c r="F183" s="16">
        <v>30</v>
      </c>
      <c r="G183" s="16" t="s">
        <v>338</v>
      </c>
      <c r="H183" s="16" t="s">
        <v>15</v>
      </c>
      <c r="I183" s="16">
        <v>10000</v>
      </c>
      <c r="J183" s="17">
        <v>8000</v>
      </c>
      <c r="K183" s="17">
        <f t="shared" si="4"/>
        <v>240000</v>
      </c>
      <c r="L183" s="69">
        <f t="shared" si="5"/>
        <v>8000</v>
      </c>
    </row>
    <row r="184" spans="1:12" s="11" customFormat="1">
      <c r="A184" s="20">
        <v>180</v>
      </c>
      <c r="B184" s="27" t="s">
        <v>505</v>
      </c>
      <c r="C184" s="25" t="s">
        <v>506</v>
      </c>
      <c r="D184" s="25" t="s">
        <v>506</v>
      </c>
      <c r="E184" s="28" t="s">
        <v>167</v>
      </c>
      <c r="F184" s="26">
        <v>3</v>
      </c>
      <c r="G184" s="26" t="s">
        <v>54</v>
      </c>
      <c r="H184" s="26" t="s">
        <v>81</v>
      </c>
      <c r="I184" s="26">
        <v>27000</v>
      </c>
      <c r="J184" s="17">
        <v>21600</v>
      </c>
      <c r="K184" s="17">
        <f t="shared" si="4"/>
        <v>64800</v>
      </c>
      <c r="L184" s="69">
        <f t="shared" si="5"/>
        <v>21600</v>
      </c>
    </row>
    <row r="185" spans="1:12" s="11" customFormat="1">
      <c r="A185" s="20">
        <v>181</v>
      </c>
      <c r="B185" s="27" t="s">
        <v>507</v>
      </c>
      <c r="C185" s="25" t="s">
        <v>508</v>
      </c>
      <c r="D185" s="25" t="s">
        <v>508</v>
      </c>
      <c r="E185" s="28" t="s">
        <v>509</v>
      </c>
      <c r="F185" s="26">
        <v>3</v>
      </c>
      <c r="G185" s="26" t="s">
        <v>54</v>
      </c>
      <c r="H185" s="26" t="s">
        <v>81</v>
      </c>
      <c r="I185" s="26">
        <v>120000</v>
      </c>
      <c r="J185" s="17">
        <v>96000</v>
      </c>
      <c r="K185" s="17">
        <f t="shared" si="4"/>
        <v>288000</v>
      </c>
      <c r="L185" s="69">
        <f t="shared" si="5"/>
        <v>96000</v>
      </c>
    </row>
    <row r="186" spans="1:12" ht="15.75" customHeight="1">
      <c r="A186" s="20">
        <v>182</v>
      </c>
      <c r="B186" s="21" t="s">
        <v>510</v>
      </c>
      <c r="C186" s="21" t="s">
        <v>511</v>
      </c>
      <c r="D186" s="21"/>
      <c r="E186" s="20" t="s">
        <v>512</v>
      </c>
      <c r="F186" s="16">
        <v>5</v>
      </c>
      <c r="G186" s="16" t="s">
        <v>513</v>
      </c>
      <c r="H186" s="16" t="s">
        <v>15</v>
      </c>
      <c r="I186" s="16">
        <v>470000</v>
      </c>
      <c r="J186" s="17">
        <v>376000</v>
      </c>
      <c r="K186" s="17">
        <f t="shared" si="4"/>
        <v>1880000</v>
      </c>
      <c r="L186" s="69">
        <f t="shared" si="5"/>
        <v>376000</v>
      </c>
    </row>
    <row r="187" spans="1:12" ht="47.25">
      <c r="A187" s="20">
        <v>183</v>
      </c>
      <c r="B187" s="21" t="s">
        <v>514</v>
      </c>
      <c r="C187" s="21" t="s">
        <v>515</v>
      </c>
      <c r="D187" s="21" t="s">
        <v>1434</v>
      </c>
      <c r="E187" s="20" t="s">
        <v>435</v>
      </c>
      <c r="F187" s="16">
        <v>5</v>
      </c>
      <c r="G187" s="16" t="s">
        <v>516</v>
      </c>
      <c r="H187" s="16" t="s">
        <v>81</v>
      </c>
      <c r="I187" s="16">
        <v>720000</v>
      </c>
      <c r="J187" s="17">
        <v>576000</v>
      </c>
      <c r="K187" s="17">
        <f t="shared" si="4"/>
        <v>2880000</v>
      </c>
      <c r="L187" s="69">
        <f t="shared" si="5"/>
        <v>576000</v>
      </c>
    </row>
    <row r="188" spans="1:12" ht="54" customHeight="1">
      <c r="A188" s="65">
        <v>184</v>
      </c>
      <c r="B188" s="66" t="s">
        <v>517</v>
      </c>
      <c r="C188" s="66" t="s">
        <v>518</v>
      </c>
      <c r="D188" s="67" t="s">
        <v>1418</v>
      </c>
      <c r="E188" s="65" t="s">
        <v>68</v>
      </c>
      <c r="F188" s="68">
        <v>10</v>
      </c>
      <c r="G188" s="68" t="s">
        <v>1419</v>
      </c>
      <c r="H188" s="68" t="s">
        <v>15</v>
      </c>
      <c r="I188" s="68">
        <v>7500000</v>
      </c>
      <c r="J188" s="64">
        <v>110000</v>
      </c>
      <c r="K188" s="64">
        <f t="shared" si="4"/>
        <v>1100000</v>
      </c>
      <c r="L188" s="69">
        <f t="shared" si="5"/>
        <v>6000000</v>
      </c>
    </row>
    <row r="189" spans="1:12" s="11" customFormat="1" ht="47.25">
      <c r="A189" s="20">
        <v>185</v>
      </c>
      <c r="B189" s="24" t="s">
        <v>521</v>
      </c>
      <c r="C189" s="25" t="s">
        <v>521</v>
      </c>
      <c r="D189" s="25" t="s">
        <v>1435</v>
      </c>
      <c r="E189" s="20" t="s">
        <v>522</v>
      </c>
      <c r="F189" s="26">
        <v>120</v>
      </c>
      <c r="G189" s="26" t="s">
        <v>362</v>
      </c>
      <c r="H189" s="26" t="s">
        <v>160</v>
      </c>
      <c r="I189" s="26">
        <v>34000</v>
      </c>
      <c r="J189" s="17">
        <v>27200</v>
      </c>
      <c r="K189" s="17">
        <f t="shared" si="4"/>
        <v>3264000</v>
      </c>
      <c r="L189" s="69">
        <f t="shared" si="5"/>
        <v>27200</v>
      </c>
    </row>
    <row r="190" spans="1:12" ht="31.5">
      <c r="A190" s="20">
        <v>186</v>
      </c>
      <c r="B190" s="21" t="s">
        <v>523</v>
      </c>
      <c r="C190" s="21" t="s">
        <v>524</v>
      </c>
      <c r="D190" s="21" t="s">
        <v>525</v>
      </c>
      <c r="E190" s="20" t="s">
        <v>522</v>
      </c>
      <c r="F190" s="16">
        <v>50</v>
      </c>
      <c r="G190" s="16" t="s">
        <v>526</v>
      </c>
      <c r="H190" s="16" t="s">
        <v>527</v>
      </c>
      <c r="I190" s="16">
        <v>40000</v>
      </c>
      <c r="J190" s="17">
        <v>32000</v>
      </c>
      <c r="K190" s="17">
        <f t="shared" si="4"/>
        <v>1600000</v>
      </c>
      <c r="L190" s="69">
        <f t="shared" si="5"/>
        <v>32000</v>
      </c>
    </row>
    <row r="191" spans="1:12" ht="54" customHeight="1">
      <c r="A191" s="20">
        <v>187</v>
      </c>
      <c r="B191" s="21" t="s">
        <v>528</v>
      </c>
      <c r="C191" s="21" t="s">
        <v>529</v>
      </c>
      <c r="D191" s="21" t="s">
        <v>530</v>
      </c>
      <c r="E191" s="20" t="s">
        <v>522</v>
      </c>
      <c r="F191" s="16">
        <v>10</v>
      </c>
      <c r="G191" s="16" t="s">
        <v>531</v>
      </c>
      <c r="H191" s="16" t="s">
        <v>81</v>
      </c>
      <c r="I191" s="16">
        <v>91000</v>
      </c>
      <c r="J191" s="17">
        <v>72800</v>
      </c>
      <c r="K191" s="17">
        <f t="shared" si="4"/>
        <v>728000</v>
      </c>
      <c r="L191" s="69">
        <f t="shared" si="5"/>
        <v>72800</v>
      </c>
    </row>
    <row r="192" spans="1:12" ht="62.1" customHeight="1">
      <c r="A192" s="20">
        <v>188</v>
      </c>
      <c r="B192" s="21" t="s">
        <v>532</v>
      </c>
      <c r="C192" s="21" t="s">
        <v>533</v>
      </c>
      <c r="D192" s="21" t="s">
        <v>534</v>
      </c>
      <c r="E192" s="20" t="s">
        <v>522</v>
      </c>
      <c r="F192" s="16">
        <v>10</v>
      </c>
      <c r="G192" s="16" t="s">
        <v>531</v>
      </c>
      <c r="H192" s="16" t="s">
        <v>81</v>
      </c>
      <c r="I192" s="16">
        <v>44000</v>
      </c>
      <c r="J192" s="17">
        <v>35200</v>
      </c>
      <c r="K192" s="17">
        <f t="shared" si="4"/>
        <v>352000</v>
      </c>
      <c r="L192" s="69">
        <f t="shared" si="5"/>
        <v>35200</v>
      </c>
    </row>
    <row r="193" spans="1:12" ht="66" customHeight="1">
      <c r="A193" s="20">
        <v>189</v>
      </c>
      <c r="B193" s="21" t="s">
        <v>535</v>
      </c>
      <c r="C193" s="21" t="s">
        <v>536</v>
      </c>
      <c r="D193" s="21" t="s">
        <v>537</v>
      </c>
      <c r="E193" s="20" t="s">
        <v>538</v>
      </c>
      <c r="F193" s="16">
        <v>10</v>
      </c>
      <c r="G193" s="16" t="s">
        <v>539</v>
      </c>
      <c r="H193" s="16" t="s">
        <v>160</v>
      </c>
      <c r="I193" s="16">
        <v>100000</v>
      </c>
      <c r="J193" s="17">
        <v>80000</v>
      </c>
      <c r="K193" s="17">
        <f t="shared" si="4"/>
        <v>800000</v>
      </c>
      <c r="L193" s="69">
        <f t="shared" si="5"/>
        <v>80000</v>
      </c>
    </row>
    <row r="194" spans="1:12">
      <c r="A194" s="20">
        <v>190</v>
      </c>
      <c r="B194" s="21" t="s">
        <v>540</v>
      </c>
      <c r="C194" s="21" t="s">
        <v>541</v>
      </c>
      <c r="D194" s="21"/>
      <c r="E194" s="20" t="s">
        <v>68</v>
      </c>
      <c r="F194" s="16">
        <v>68</v>
      </c>
      <c r="G194" s="16" t="s">
        <v>526</v>
      </c>
      <c r="H194" s="16" t="s">
        <v>527</v>
      </c>
      <c r="I194" s="16">
        <v>85000</v>
      </c>
      <c r="J194" s="17">
        <v>68000</v>
      </c>
      <c r="K194" s="17">
        <f t="shared" si="4"/>
        <v>4624000</v>
      </c>
      <c r="L194" s="69">
        <f t="shared" si="5"/>
        <v>68000</v>
      </c>
    </row>
    <row r="195" spans="1:12" ht="66.95" customHeight="1">
      <c r="A195" s="20">
        <v>191</v>
      </c>
      <c r="B195" s="21" t="s">
        <v>542</v>
      </c>
      <c r="C195" s="21" t="s">
        <v>543</v>
      </c>
      <c r="D195" s="21" t="s">
        <v>544</v>
      </c>
      <c r="E195" s="20" t="s">
        <v>233</v>
      </c>
      <c r="F195" s="16">
        <v>20</v>
      </c>
      <c r="G195" s="16" t="s">
        <v>54</v>
      </c>
      <c r="H195" s="16" t="s">
        <v>15</v>
      </c>
      <c r="I195" s="16">
        <v>39000</v>
      </c>
      <c r="J195" s="17">
        <v>31200</v>
      </c>
      <c r="K195" s="17">
        <f t="shared" si="4"/>
        <v>624000</v>
      </c>
      <c r="L195" s="69">
        <f t="shared" si="5"/>
        <v>31200</v>
      </c>
    </row>
    <row r="196" spans="1:12" ht="113.1" customHeight="1">
      <c r="A196" s="20">
        <v>192</v>
      </c>
      <c r="B196" s="21" t="s">
        <v>545</v>
      </c>
      <c r="C196" s="21" t="s">
        <v>546</v>
      </c>
      <c r="D196" s="21" t="s">
        <v>547</v>
      </c>
      <c r="E196" s="20" t="s">
        <v>68</v>
      </c>
      <c r="F196" s="16">
        <v>20</v>
      </c>
      <c r="G196" s="16" t="s">
        <v>54</v>
      </c>
      <c r="H196" s="16" t="s">
        <v>15</v>
      </c>
      <c r="I196" s="16">
        <v>80000</v>
      </c>
      <c r="J196" s="17">
        <v>64000</v>
      </c>
      <c r="K196" s="17">
        <f t="shared" si="4"/>
        <v>1280000</v>
      </c>
      <c r="L196" s="69">
        <f t="shared" si="5"/>
        <v>64000</v>
      </c>
    </row>
    <row r="197" spans="1:12" ht="72.95" customHeight="1">
      <c r="A197" s="20">
        <v>193</v>
      </c>
      <c r="B197" s="21" t="s">
        <v>548</v>
      </c>
      <c r="C197" s="21" t="s">
        <v>549</v>
      </c>
      <c r="D197" s="21" t="s">
        <v>550</v>
      </c>
      <c r="E197" s="20" t="s">
        <v>68</v>
      </c>
      <c r="F197" s="16">
        <v>10</v>
      </c>
      <c r="G197" s="16" t="s">
        <v>72</v>
      </c>
      <c r="H197" s="16" t="s">
        <v>73</v>
      </c>
      <c r="I197" s="16">
        <v>91000</v>
      </c>
      <c r="J197" s="17">
        <v>72800</v>
      </c>
      <c r="K197" s="17">
        <f t="shared" ref="K197:K260" si="6">F197*J197</f>
        <v>728000</v>
      </c>
      <c r="L197" s="69">
        <f t="shared" si="5"/>
        <v>72800</v>
      </c>
    </row>
    <row r="198" spans="1:12" ht="15.75" customHeight="1">
      <c r="A198" s="20">
        <v>194</v>
      </c>
      <c r="B198" s="21" t="s">
        <v>551</v>
      </c>
      <c r="C198" s="21" t="s">
        <v>552</v>
      </c>
      <c r="D198" s="21" t="s">
        <v>553</v>
      </c>
      <c r="E198" s="20" t="s">
        <v>68</v>
      </c>
      <c r="F198" s="16">
        <v>10</v>
      </c>
      <c r="G198" s="16" t="s">
        <v>554</v>
      </c>
      <c r="H198" s="16" t="s">
        <v>160</v>
      </c>
      <c r="I198" s="16">
        <v>172000</v>
      </c>
      <c r="J198" s="17">
        <v>320000</v>
      </c>
      <c r="K198" s="17">
        <f t="shared" si="6"/>
        <v>3200000</v>
      </c>
      <c r="L198" s="69">
        <f t="shared" ref="L198:L261" si="7">I198*80%</f>
        <v>137600</v>
      </c>
    </row>
    <row r="199" spans="1:12" ht="15.75" customHeight="1">
      <c r="A199" s="20">
        <v>195</v>
      </c>
      <c r="B199" s="21" t="s">
        <v>555</v>
      </c>
      <c r="C199" s="21" t="s">
        <v>556</v>
      </c>
      <c r="D199" s="21"/>
      <c r="E199" s="20" t="s">
        <v>289</v>
      </c>
      <c r="F199" s="16">
        <v>50</v>
      </c>
      <c r="G199" s="16" t="s">
        <v>557</v>
      </c>
      <c r="H199" s="16" t="s">
        <v>81</v>
      </c>
      <c r="I199" s="16">
        <v>150000</v>
      </c>
      <c r="J199" s="17">
        <v>120000</v>
      </c>
      <c r="K199" s="17">
        <f t="shared" si="6"/>
        <v>6000000</v>
      </c>
      <c r="L199" s="69">
        <f t="shared" si="7"/>
        <v>120000</v>
      </c>
    </row>
    <row r="200" spans="1:12" s="11" customFormat="1">
      <c r="A200" s="20">
        <v>196</v>
      </c>
      <c r="B200" s="24" t="s">
        <v>558</v>
      </c>
      <c r="C200" s="21" t="s">
        <v>559</v>
      </c>
      <c r="D200" s="21"/>
      <c r="E200" s="28" t="s">
        <v>289</v>
      </c>
      <c r="F200" s="26">
        <v>20</v>
      </c>
      <c r="G200" s="26" t="s">
        <v>560</v>
      </c>
      <c r="H200" s="26" t="s">
        <v>15</v>
      </c>
      <c r="I200" s="26">
        <v>155000</v>
      </c>
      <c r="J200" s="17">
        <v>124000</v>
      </c>
      <c r="K200" s="17">
        <f t="shared" si="6"/>
        <v>2480000</v>
      </c>
      <c r="L200" s="69">
        <f t="shared" si="7"/>
        <v>124000</v>
      </c>
    </row>
    <row r="201" spans="1:12" s="11" customFormat="1" ht="78.75">
      <c r="A201" s="20">
        <v>197</v>
      </c>
      <c r="B201" s="24" t="s">
        <v>561</v>
      </c>
      <c r="C201" s="21"/>
      <c r="D201" s="21" t="s">
        <v>562</v>
      </c>
      <c r="E201" s="28" t="s">
        <v>563</v>
      </c>
      <c r="F201" s="26">
        <v>4</v>
      </c>
      <c r="G201" s="26" t="s">
        <v>54</v>
      </c>
      <c r="H201" s="26" t="s">
        <v>81</v>
      </c>
      <c r="I201" s="26">
        <v>37000</v>
      </c>
      <c r="J201" s="17">
        <v>29600</v>
      </c>
      <c r="K201" s="17">
        <f t="shared" si="6"/>
        <v>118400</v>
      </c>
      <c r="L201" s="69">
        <f t="shared" si="7"/>
        <v>29600</v>
      </c>
    </row>
    <row r="202" spans="1:12" ht="137.1" customHeight="1">
      <c r="A202" s="20">
        <v>198</v>
      </c>
      <c r="B202" s="21" t="s">
        <v>564</v>
      </c>
      <c r="C202" s="21" t="s">
        <v>565</v>
      </c>
      <c r="D202" s="21" t="s">
        <v>566</v>
      </c>
      <c r="E202" s="20" t="s">
        <v>68</v>
      </c>
      <c r="F202" s="16">
        <v>18</v>
      </c>
      <c r="G202" s="16" t="s">
        <v>72</v>
      </c>
      <c r="H202" s="16" t="s">
        <v>73</v>
      </c>
      <c r="I202" s="16">
        <v>580000</v>
      </c>
      <c r="J202" s="17">
        <v>510000</v>
      </c>
      <c r="K202" s="17">
        <f t="shared" si="6"/>
        <v>9180000</v>
      </c>
      <c r="L202" s="69">
        <f t="shared" si="7"/>
        <v>464000</v>
      </c>
    </row>
    <row r="203" spans="1:12" ht="141" customHeight="1">
      <c r="A203" s="20">
        <v>199</v>
      </c>
      <c r="B203" s="21" t="s">
        <v>567</v>
      </c>
      <c r="C203" s="21" t="s">
        <v>568</v>
      </c>
      <c r="D203" s="21" t="s">
        <v>569</v>
      </c>
      <c r="E203" s="20" t="s">
        <v>156</v>
      </c>
      <c r="F203" s="16">
        <v>2</v>
      </c>
      <c r="G203" s="16" t="s">
        <v>568</v>
      </c>
      <c r="H203" s="16" t="s">
        <v>15</v>
      </c>
      <c r="I203" s="16">
        <v>1890000</v>
      </c>
      <c r="J203" s="17">
        <v>1512000</v>
      </c>
      <c r="K203" s="17">
        <f t="shared" si="6"/>
        <v>3024000</v>
      </c>
      <c r="L203" s="69">
        <f t="shared" si="7"/>
        <v>1512000</v>
      </c>
    </row>
    <row r="204" spans="1:12" ht="232.5" customHeight="1">
      <c r="A204" s="20">
        <v>200</v>
      </c>
      <c r="B204" s="21" t="s">
        <v>570</v>
      </c>
      <c r="C204" s="21" t="s">
        <v>571</v>
      </c>
      <c r="D204" s="21" t="s">
        <v>572</v>
      </c>
      <c r="E204" s="20" t="s">
        <v>156</v>
      </c>
      <c r="F204" s="16">
        <v>2</v>
      </c>
      <c r="G204" s="16" t="s">
        <v>573</v>
      </c>
      <c r="H204" s="16" t="s">
        <v>81</v>
      </c>
      <c r="I204" s="16">
        <v>3650000</v>
      </c>
      <c r="J204" s="17">
        <v>2920000</v>
      </c>
      <c r="K204" s="17">
        <f t="shared" si="6"/>
        <v>5840000</v>
      </c>
      <c r="L204" s="69">
        <f t="shared" si="7"/>
        <v>2920000</v>
      </c>
    </row>
    <row r="205" spans="1:12" ht="117.95" customHeight="1">
      <c r="A205" s="20">
        <v>201</v>
      </c>
      <c r="B205" s="21" t="s">
        <v>574</v>
      </c>
      <c r="C205" s="21" t="s">
        <v>575</v>
      </c>
      <c r="D205" s="21" t="s">
        <v>576</v>
      </c>
      <c r="E205" s="20" t="s">
        <v>167</v>
      </c>
      <c r="F205" s="16">
        <v>2</v>
      </c>
      <c r="G205" s="16" t="s">
        <v>181</v>
      </c>
      <c r="H205" s="16" t="s">
        <v>15</v>
      </c>
      <c r="I205" s="16">
        <v>860000</v>
      </c>
      <c r="J205" s="17">
        <v>780000</v>
      </c>
      <c r="K205" s="17">
        <f t="shared" si="6"/>
        <v>1560000</v>
      </c>
      <c r="L205" s="69">
        <f t="shared" si="7"/>
        <v>688000</v>
      </c>
    </row>
    <row r="206" spans="1:12" ht="95.1" customHeight="1">
      <c r="A206" s="20">
        <v>202</v>
      </c>
      <c r="B206" s="21" t="s">
        <v>577</v>
      </c>
      <c r="C206" s="21" t="s">
        <v>578</v>
      </c>
      <c r="D206" s="21" t="s">
        <v>579</v>
      </c>
      <c r="E206" s="20" t="s">
        <v>167</v>
      </c>
      <c r="F206" s="16">
        <v>2</v>
      </c>
      <c r="G206" s="16" t="s">
        <v>181</v>
      </c>
      <c r="H206" s="16" t="s">
        <v>15</v>
      </c>
      <c r="I206" s="16">
        <v>910000</v>
      </c>
      <c r="J206" s="17">
        <v>830000</v>
      </c>
      <c r="K206" s="17">
        <f t="shared" si="6"/>
        <v>1660000</v>
      </c>
      <c r="L206" s="69">
        <f t="shared" si="7"/>
        <v>728000</v>
      </c>
    </row>
    <row r="207" spans="1:12" ht="15.75" customHeight="1">
      <c r="A207" s="20">
        <v>203</v>
      </c>
      <c r="B207" s="21" t="s">
        <v>580</v>
      </c>
      <c r="C207" s="21" t="s">
        <v>581</v>
      </c>
      <c r="D207" s="21"/>
      <c r="E207" s="20" t="s">
        <v>167</v>
      </c>
      <c r="F207" s="16">
        <v>3</v>
      </c>
      <c r="G207" s="16" t="s">
        <v>181</v>
      </c>
      <c r="H207" s="16" t="s">
        <v>15</v>
      </c>
      <c r="I207" s="16">
        <v>1050000</v>
      </c>
      <c r="J207" s="17">
        <v>935000</v>
      </c>
      <c r="K207" s="17">
        <f t="shared" si="6"/>
        <v>2805000</v>
      </c>
      <c r="L207" s="69">
        <f t="shared" si="7"/>
        <v>840000</v>
      </c>
    </row>
    <row r="208" spans="1:12" ht="15.75" customHeight="1">
      <c r="A208" s="20">
        <v>204</v>
      </c>
      <c r="B208" s="21" t="s">
        <v>582</v>
      </c>
      <c r="C208" s="21" t="s">
        <v>583</v>
      </c>
      <c r="D208" s="21"/>
      <c r="E208" s="20" t="s">
        <v>167</v>
      </c>
      <c r="F208" s="16">
        <v>3</v>
      </c>
      <c r="G208" s="16" t="s">
        <v>181</v>
      </c>
      <c r="H208" s="16" t="s">
        <v>15</v>
      </c>
      <c r="I208" s="16">
        <v>1200000</v>
      </c>
      <c r="J208" s="17">
        <v>1152000</v>
      </c>
      <c r="K208" s="17">
        <f t="shared" si="6"/>
        <v>3456000</v>
      </c>
      <c r="L208" s="69">
        <f t="shared" si="7"/>
        <v>960000</v>
      </c>
    </row>
    <row r="209" spans="1:12" s="11" customFormat="1">
      <c r="A209" s="20">
        <v>205</v>
      </c>
      <c r="B209" s="36" t="s">
        <v>584</v>
      </c>
      <c r="C209" s="21" t="s">
        <v>585</v>
      </c>
      <c r="D209" s="21"/>
      <c r="E209" s="28" t="s">
        <v>167</v>
      </c>
      <c r="F209" s="26">
        <v>2</v>
      </c>
      <c r="G209" s="26"/>
      <c r="H209" s="26"/>
      <c r="I209" s="26"/>
      <c r="J209" s="17">
        <v>450000</v>
      </c>
      <c r="K209" s="17">
        <f t="shared" si="6"/>
        <v>900000</v>
      </c>
      <c r="L209" s="69">
        <f t="shared" si="7"/>
        <v>0</v>
      </c>
    </row>
    <row r="210" spans="1:12" ht="165" customHeight="1">
      <c r="A210" s="20">
        <v>206</v>
      </c>
      <c r="B210" s="21" t="s">
        <v>1431</v>
      </c>
      <c r="C210" s="21" t="s">
        <v>586</v>
      </c>
      <c r="D210" s="21" t="s">
        <v>587</v>
      </c>
      <c r="E210" s="20" t="s">
        <v>167</v>
      </c>
      <c r="F210" s="16">
        <v>2</v>
      </c>
      <c r="G210" s="16" t="s">
        <v>181</v>
      </c>
      <c r="H210" s="16" t="s">
        <v>15</v>
      </c>
      <c r="I210" s="16">
        <v>1050000</v>
      </c>
      <c r="J210" s="17">
        <v>1050000</v>
      </c>
      <c r="K210" s="17">
        <f t="shared" si="6"/>
        <v>2100000</v>
      </c>
      <c r="L210" s="69">
        <f t="shared" si="7"/>
        <v>840000</v>
      </c>
    </row>
    <row r="211" spans="1:12" ht="15.75" customHeight="1">
      <c r="A211" s="20">
        <v>207</v>
      </c>
      <c r="B211" s="25" t="s">
        <v>588</v>
      </c>
      <c r="C211" s="21" t="s">
        <v>589</v>
      </c>
      <c r="D211" s="21"/>
      <c r="E211" s="20" t="s">
        <v>167</v>
      </c>
      <c r="F211" s="16">
        <v>2</v>
      </c>
      <c r="G211" s="16" t="s">
        <v>181</v>
      </c>
      <c r="H211" s="16" t="s">
        <v>15</v>
      </c>
      <c r="I211" s="16">
        <v>1150000</v>
      </c>
      <c r="J211" s="17">
        <v>1100000</v>
      </c>
      <c r="K211" s="17">
        <f t="shared" si="6"/>
        <v>2200000</v>
      </c>
      <c r="L211" s="69">
        <f t="shared" si="7"/>
        <v>920000</v>
      </c>
    </row>
    <row r="212" spans="1:12" ht="123.95" customHeight="1">
      <c r="A212" s="20">
        <v>208</v>
      </c>
      <c r="B212" s="21" t="s">
        <v>590</v>
      </c>
      <c r="C212" s="21" t="s">
        <v>591</v>
      </c>
      <c r="D212" s="21" t="s">
        <v>592</v>
      </c>
      <c r="E212" s="20" t="s">
        <v>167</v>
      </c>
      <c r="F212" s="16">
        <v>2</v>
      </c>
      <c r="G212" s="16" t="s">
        <v>181</v>
      </c>
      <c r="H212" s="16" t="s">
        <v>15</v>
      </c>
      <c r="I212" s="16">
        <v>5400000</v>
      </c>
      <c r="J212" s="17">
        <v>4700000</v>
      </c>
      <c r="K212" s="17">
        <f t="shared" si="6"/>
        <v>9400000</v>
      </c>
      <c r="L212" s="69">
        <f t="shared" si="7"/>
        <v>4320000</v>
      </c>
    </row>
    <row r="213" spans="1:12" ht="141.94999999999999" customHeight="1">
      <c r="A213" s="20">
        <v>209</v>
      </c>
      <c r="B213" s="21" t="s">
        <v>593</v>
      </c>
      <c r="C213" s="21" t="s">
        <v>594</v>
      </c>
      <c r="D213" s="21" t="s">
        <v>595</v>
      </c>
      <c r="E213" s="20" t="s">
        <v>167</v>
      </c>
      <c r="F213" s="16">
        <v>5</v>
      </c>
      <c r="G213" s="16" t="s">
        <v>362</v>
      </c>
      <c r="H213" s="16" t="s">
        <v>160</v>
      </c>
      <c r="I213" s="16">
        <v>5900000</v>
      </c>
      <c r="J213" s="17">
        <v>5200000</v>
      </c>
      <c r="K213" s="17">
        <f t="shared" si="6"/>
        <v>26000000</v>
      </c>
      <c r="L213" s="69">
        <f t="shared" si="7"/>
        <v>4720000</v>
      </c>
    </row>
    <row r="214" spans="1:12" ht="137.1" customHeight="1">
      <c r="A214" s="20">
        <v>210</v>
      </c>
      <c r="B214" s="21" t="s">
        <v>596</v>
      </c>
      <c r="C214" s="21" t="s">
        <v>597</v>
      </c>
      <c r="D214" s="21" t="s">
        <v>598</v>
      </c>
      <c r="E214" s="20" t="s">
        <v>167</v>
      </c>
      <c r="F214" s="16">
        <v>5</v>
      </c>
      <c r="G214" s="16" t="s">
        <v>478</v>
      </c>
      <c r="H214" s="16" t="s">
        <v>15</v>
      </c>
      <c r="I214" s="16">
        <v>1350000</v>
      </c>
      <c r="J214" s="17">
        <v>1080000</v>
      </c>
      <c r="K214" s="17">
        <f t="shared" si="6"/>
        <v>5400000</v>
      </c>
      <c r="L214" s="69">
        <f t="shared" si="7"/>
        <v>1080000</v>
      </c>
    </row>
    <row r="215" spans="1:12" ht="279" customHeight="1">
      <c r="A215" s="20">
        <v>211</v>
      </c>
      <c r="B215" s="25" t="s">
        <v>599</v>
      </c>
      <c r="C215" s="21" t="s">
        <v>600</v>
      </c>
      <c r="D215" s="21" t="s">
        <v>601</v>
      </c>
      <c r="E215" s="20" t="s">
        <v>65</v>
      </c>
      <c r="F215" s="16">
        <v>3</v>
      </c>
      <c r="G215" s="16" t="s">
        <v>602</v>
      </c>
      <c r="H215" s="16" t="s">
        <v>15</v>
      </c>
      <c r="I215" s="16"/>
      <c r="J215" s="17">
        <v>330000</v>
      </c>
      <c r="K215" s="17">
        <f t="shared" si="6"/>
        <v>990000</v>
      </c>
      <c r="L215" s="69">
        <f t="shared" si="7"/>
        <v>0</v>
      </c>
    </row>
    <row r="216" spans="1:12" ht="15.75" customHeight="1">
      <c r="A216" s="20">
        <v>212</v>
      </c>
      <c r="B216" s="25" t="s">
        <v>603</v>
      </c>
      <c r="C216" s="21" t="s">
        <v>604</v>
      </c>
      <c r="D216" s="21"/>
      <c r="E216" s="20" t="s">
        <v>605</v>
      </c>
      <c r="F216" s="16">
        <v>2</v>
      </c>
      <c r="G216" s="16"/>
      <c r="H216" s="16" t="s">
        <v>15</v>
      </c>
      <c r="I216" s="16">
        <v>40000</v>
      </c>
      <c r="J216" s="17">
        <v>40000</v>
      </c>
      <c r="K216" s="17">
        <f t="shared" si="6"/>
        <v>80000</v>
      </c>
      <c r="L216" s="69">
        <f t="shared" si="7"/>
        <v>32000</v>
      </c>
    </row>
    <row r="217" spans="1:12" ht="153" customHeight="1">
      <c r="A217" s="20">
        <v>213</v>
      </c>
      <c r="B217" s="25" t="s">
        <v>606</v>
      </c>
      <c r="C217" s="21" t="s">
        <v>607</v>
      </c>
      <c r="D217" s="21" t="s">
        <v>608</v>
      </c>
      <c r="E217" s="20" t="s">
        <v>65</v>
      </c>
      <c r="F217" s="16">
        <v>200</v>
      </c>
      <c r="G217" s="16" t="s">
        <v>54</v>
      </c>
      <c r="H217" s="16" t="s">
        <v>81</v>
      </c>
      <c r="I217" s="16">
        <v>10000</v>
      </c>
      <c r="J217" s="17">
        <v>8000</v>
      </c>
      <c r="K217" s="17">
        <f t="shared" si="6"/>
        <v>1600000</v>
      </c>
      <c r="L217" s="69">
        <f t="shared" si="7"/>
        <v>8000</v>
      </c>
    </row>
    <row r="218" spans="1:12" ht="15.75" customHeight="1">
      <c r="A218" s="20">
        <v>214</v>
      </c>
      <c r="B218" s="25" t="s">
        <v>606</v>
      </c>
      <c r="C218" s="21" t="s">
        <v>609</v>
      </c>
      <c r="D218" s="21"/>
      <c r="E218" s="20" t="s">
        <v>65</v>
      </c>
      <c r="F218" s="16">
        <v>10</v>
      </c>
      <c r="G218" s="16"/>
      <c r="H218" s="16" t="s">
        <v>81</v>
      </c>
      <c r="I218" s="16">
        <v>11000</v>
      </c>
      <c r="J218" s="17">
        <v>8800</v>
      </c>
      <c r="K218" s="17">
        <f t="shared" si="6"/>
        <v>88000</v>
      </c>
      <c r="L218" s="69">
        <f t="shared" si="7"/>
        <v>8800</v>
      </c>
    </row>
    <row r="219" spans="1:12" ht="15.75" customHeight="1">
      <c r="A219" s="20">
        <v>215</v>
      </c>
      <c r="B219" s="25" t="s">
        <v>606</v>
      </c>
      <c r="C219" s="21" t="s">
        <v>610</v>
      </c>
      <c r="D219" s="21"/>
      <c r="E219" s="20" t="s">
        <v>65</v>
      </c>
      <c r="F219" s="16">
        <v>10</v>
      </c>
      <c r="G219" s="16"/>
      <c r="H219" s="16" t="s">
        <v>81</v>
      </c>
      <c r="I219" s="16">
        <v>12000</v>
      </c>
      <c r="J219" s="17">
        <v>9000</v>
      </c>
      <c r="K219" s="17">
        <f t="shared" si="6"/>
        <v>90000</v>
      </c>
      <c r="L219" s="69">
        <f t="shared" si="7"/>
        <v>9600</v>
      </c>
    </row>
    <row r="220" spans="1:12" ht="15.75" customHeight="1">
      <c r="A220" s="20">
        <v>216</v>
      </c>
      <c r="B220" s="25" t="s">
        <v>606</v>
      </c>
      <c r="C220" s="21" t="s">
        <v>611</v>
      </c>
      <c r="D220" s="21"/>
      <c r="E220" s="20" t="s">
        <v>65</v>
      </c>
      <c r="F220" s="16">
        <v>10</v>
      </c>
      <c r="G220" s="16"/>
      <c r="H220" s="16" t="s">
        <v>81</v>
      </c>
      <c r="I220" s="16">
        <v>14000</v>
      </c>
      <c r="J220" s="17">
        <v>11200</v>
      </c>
      <c r="K220" s="17">
        <f t="shared" si="6"/>
        <v>112000</v>
      </c>
      <c r="L220" s="69">
        <f t="shared" si="7"/>
        <v>11200</v>
      </c>
    </row>
    <row r="221" spans="1:12" ht="15.75" customHeight="1">
      <c r="A221" s="20">
        <v>217</v>
      </c>
      <c r="B221" s="25" t="s">
        <v>612</v>
      </c>
      <c r="C221" s="21" t="s">
        <v>613</v>
      </c>
      <c r="D221" s="21"/>
      <c r="E221" s="20" t="s">
        <v>65</v>
      </c>
      <c r="F221" s="16">
        <v>100</v>
      </c>
      <c r="G221" s="16" t="s">
        <v>54</v>
      </c>
      <c r="H221" s="16" t="s">
        <v>15</v>
      </c>
      <c r="I221" s="16">
        <v>2000</v>
      </c>
      <c r="J221" s="17">
        <v>1000</v>
      </c>
      <c r="K221" s="17">
        <f t="shared" si="6"/>
        <v>100000</v>
      </c>
      <c r="L221" s="69">
        <f t="shared" si="7"/>
        <v>1600</v>
      </c>
    </row>
    <row r="222" spans="1:12" ht="207" customHeight="1">
      <c r="A222" s="20">
        <v>218</v>
      </c>
      <c r="B222" s="21" t="s">
        <v>614</v>
      </c>
      <c r="C222" s="21" t="s">
        <v>615</v>
      </c>
      <c r="D222" s="21" t="s">
        <v>616</v>
      </c>
      <c r="E222" s="20" t="s">
        <v>65</v>
      </c>
      <c r="F222" s="16">
        <v>30</v>
      </c>
      <c r="G222" s="16" t="s">
        <v>54</v>
      </c>
      <c r="H222" s="16" t="s">
        <v>15</v>
      </c>
      <c r="I222" s="16">
        <v>150000</v>
      </c>
      <c r="J222" s="17">
        <v>15000</v>
      </c>
      <c r="K222" s="17">
        <f t="shared" si="6"/>
        <v>450000</v>
      </c>
      <c r="L222" s="69">
        <f t="shared" si="7"/>
        <v>120000</v>
      </c>
    </row>
    <row r="223" spans="1:12" ht="98.1" customHeight="1">
      <c r="A223" s="20">
        <v>219</v>
      </c>
      <c r="B223" s="25" t="s">
        <v>617</v>
      </c>
      <c r="C223" s="21" t="s">
        <v>618</v>
      </c>
      <c r="D223" s="21" t="s">
        <v>619</v>
      </c>
      <c r="E223" s="20" t="s">
        <v>65</v>
      </c>
      <c r="F223" s="16">
        <v>50</v>
      </c>
      <c r="G223" s="16" t="s">
        <v>54</v>
      </c>
      <c r="H223" s="16" t="s">
        <v>15</v>
      </c>
      <c r="I223" s="16">
        <v>15000</v>
      </c>
      <c r="J223" s="17">
        <v>12000</v>
      </c>
      <c r="K223" s="17">
        <f t="shared" si="6"/>
        <v>600000</v>
      </c>
      <c r="L223" s="69">
        <f t="shared" si="7"/>
        <v>12000</v>
      </c>
    </row>
    <row r="224" spans="1:12" ht="126" customHeight="1">
      <c r="A224" s="20">
        <v>220</v>
      </c>
      <c r="B224" s="25" t="s">
        <v>620</v>
      </c>
      <c r="C224" s="21" t="s">
        <v>621</v>
      </c>
      <c r="D224" s="21" t="s">
        <v>622</v>
      </c>
      <c r="E224" s="20" t="s">
        <v>65</v>
      </c>
      <c r="F224" s="16">
        <v>5</v>
      </c>
      <c r="G224" s="16" t="s">
        <v>623</v>
      </c>
      <c r="H224" s="16" t="s">
        <v>15</v>
      </c>
      <c r="I224" s="16">
        <v>272000</v>
      </c>
      <c r="J224" s="17">
        <v>250000</v>
      </c>
      <c r="K224" s="17">
        <f t="shared" si="6"/>
        <v>1250000</v>
      </c>
      <c r="L224" s="69">
        <f t="shared" si="7"/>
        <v>217600</v>
      </c>
    </row>
    <row r="225" spans="1:12" ht="50.1" customHeight="1">
      <c r="A225" s="20">
        <v>221</v>
      </c>
      <c r="B225" s="21" t="s">
        <v>624</v>
      </c>
      <c r="C225" s="21" t="s">
        <v>625</v>
      </c>
      <c r="D225" s="21" t="s">
        <v>626</v>
      </c>
      <c r="E225" s="20" t="s">
        <v>68</v>
      </c>
      <c r="F225" s="16">
        <v>50</v>
      </c>
      <c r="G225" s="16" t="s">
        <v>54</v>
      </c>
      <c r="H225" s="16" t="s">
        <v>15</v>
      </c>
      <c r="I225" s="16">
        <v>6000</v>
      </c>
      <c r="J225" s="17">
        <v>4800</v>
      </c>
      <c r="K225" s="17">
        <f t="shared" si="6"/>
        <v>240000</v>
      </c>
      <c r="L225" s="69">
        <f t="shared" si="7"/>
        <v>4800</v>
      </c>
    </row>
    <row r="226" spans="1:12" ht="47.25">
      <c r="A226" s="20">
        <v>222</v>
      </c>
      <c r="B226" s="21" t="s">
        <v>627</v>
      </c>
      <c r="C226" s="21" t="s">
        <v>628</v>
      </c>
      <c r="D226" s="21" t="s">
        <v>626</v>
      </c>
      <c r="E226" s="20" t="s">
        <v>68</v>
      </c>
      <c r="F226" s="16">
        <v>200</v>
      </c>
      <c r="G226" s="16" t="s">
        <v>54</v>
      </c>
      <c r="H226" s="16" t="s">
        <v>15</v>
      </c>
      <c r="I226" s="16">
        <v>6000</v>
      </c>
      <c r="J226" s="17">
        <v>4800</v>
      </c>
      <c r="K226" s="17">
        <f t="shared" si="6"/>
        <v>960000</v>
      </c>
      <c r="L226" s="69">
        <f t="shared" si="7"/>
        <v>4800</v>
      </c>
    </row>
    <row r="227" spans="1:12" ht="15.75" customHeight="1">
      <c r="A227" s="20">
        <v>223</v>
      </c>
      <c r="B227" s="21" t="s">
        <v>629</v>
      </c>
      <c r="C227" s="21" t="s">
        <v>630</v>
      </c>
      <c r="D227" s="21"/>
      <c r="E227" s="20" t="s">
        <v>68</v>
      </c>
      <c r="F227" s="16">
        <v>15</v>
      </c>
      <c r="G227" s="16" t="s">
        <v>54</v>
      </c>
      <c r="H227" s="16" t="s">
        <v>15</v>
      </c>
      <c r="I227" s="16">
        <v>69000</v>
      </c>
      <c r="J227" s="17">
        <v>55200</v>
      </c>
      <c r="K227" s="17">
        <f t="shared" si="6"/>
        <v>828000</v>
      </c>
      <c r="L227" s="69">
        <f t="shared" si="7"/>
        <v>55200</v>
      </c>
    </row>
    <row r="228" spans="1:12" ht="15.75" customHeight="1">
      <c r="A228" s="20">
        <v>224</v>
      </c>
      <c r="B228" s="21" t="s">
        <v>631</v>
      </c>
      <c r="C228" s="21" t="s">
        <v>632</v>
      </c>
      <c r="D228" s="21"/>
      <c r="E228" s="20" t="s">
        <v>68</v>
      </c>
      <c r="F228" s="16">
        <v>15</v>
      </c>
      <c r="G228" s="16" t="s">
        <v>54</v>
      </c>
      <c r="H228" s="16" t="s">
        <v>15</v>
      </c>
      <c r="I228" s="16">
        <v>75000</v>
      </c>
      <c r="J228" s="17">
        <v>60000</v>
      </c>
      <c r="K228" s="17">
        <f t="shared" si="6"/>
        <v>900000</v>
      </c>
      <c r="L228" s="69">
        <f t="shared" si="7"/>
        <v>60000</v>
      </c>
    </row>
    <row r="229" spans="1:12" ht="15.75" customHeight="1">
      <c r="A229" s="20">
        <v>225</v>
      </c>
      <c r="B229" s="21" t="s">
        <v>633</v>
      </c>
      <c r="C229" s="21" t="s">
        <v>634</v>
      </c>
      <c r="D229" s="21"/>
      <c r="E229" s="20" t="s">
        <v>68</v>
      </c>
      <c r="F229" s="16">
        <v>15</v>
      </c>
      <c r="G229" s="16" t="s">
        <v>54</v>
      </c>
      <c r="H229" s="16" t="s">
        <v>15</v>
      </c>
      <c r="I229" s="16">
        <v>90000</v>
      </c>
      <c r="J229" s="17">
        <v>72000</v>
      </c>
      <c r="K229" s="17">
        <f t="shared" si="6"/>
        <v>1080000</v>
      </c>
      <c r="L229" s="69">
        <f t="shared" si="7"/>
        <v>72000</v>
      </c>
    </row>
    <row r="230" spans="1:12" ht="15.75" customHeight="1">
      <c r="A230" s="20">
        <v>226</v>
      </c>
      <c r="B230" s="25" t="s">
        <v>635</v>
      </c>
      <c r="C230" s="21" t="s">
        <v>636</v>
      </c>
      <c r="D230" s="21"/>
      <c r="E230" s="20" t="s">
        <v>65</v>
      </c>
      <c r="F230" s="16">
        <v>100</v>
      </c>
      <c r="G230" s="16" t="s">
        <v>54</v>
      </c>
      <c r="H230" s="16" t="s">
        <v>15</v>
      </c>
      <c r="I230" s="16">
        <v>10000</v>
      </c>
      <c r="J230" s="17">
        <v>8000</v>
      </c>
      <c r="K230" s="17">
        <f t="shared" si="6"/>
        <v>800000</v>
      </c>
      <c r="L230" s="69">
        <f t="shared" si="7"/>
        <v>8000</v>
      </c>
    </row>
    <row r="231" spans="1:12" ht="15.75" customHeight="1">
      <c r="A231" s="20">
        <v>227</v>
      </c>
      <c r="B231" s="25" t="s">
        <v>637</v>
      </c>
      <c r="C231" s="21" t="s">
        <v>638</v>
      </c>
      <c r="D231" s="21"/>
      <c r="E231" s="20" t="s">
        <v>65</v>
      </c>
      <c r="F231" s="16">
        <v>100</v>
      </c>
      <c r="G231" s="16" t="s">
        <v>54</v>
      </c>
      <c r="H231" s="16" t="s">
        <v>15</v>
      </c>
      <c r="I231" s="16">
        <v>15000</v>
      </c>
      <c r="J231" s="17">
        <v>12000</v>
      </c>
      <c r="K231" s="17">
        <f t="shared" si="6"/>
        <v>1200000</v>
      </c>
      <c r="L231" s="69">
        <f t="shared" si="7"/>
        <v>12000</v>
      </c>
    </row>
    <row r="232" spans="1:12" ht="30.75" customHeight="1">
      <c r="A232" s="20">
        <v>228</v>
      </c>
      <c r="B232" s="25" t="s">
        <v>639</v>
      </c>
      <c r="C232" s="21" t="s">
        <v>640</v>
      </c>
      <c r="D232" s="21" t="s">
        <v>641</v>
      </c>
      <c r="E232" s="20" t="s">
        <v>233</v>
      </c>
      <c r="F232" s="16">
        <v>1</v>
      </c>
      <c r="G232" s="16" t="s">
        <v>138</v>
      </c>
      <c r="H232" s="16" t="s">
        <v>160</v>
      </c>
      <c r="I232" s="16">
        <v>3400000</v>
      </c>
      <c r="J232" s="17">
        <v>2950000</v>
      </c>
      <c r="K232" s="17">
        <f t="shared" si="6"/>
        <v>2950000</v>
      </c>
      <c r="L232" s="69">
        <f t="shared" si="7"/>
        <v>2720000</v>
      </c>
    </row>
    <row r="233" spans="1:12" ht="30.75" customHeight="1">
      <c r="A233" s="20">
        <v>229</v>
      </c>
      <c r="B233" s="25" t="s">
        <v>642</v>
      </c>
      <c r="C233" s="21" t="s">
        <v>643</v>
      </c>
      <c r="D233" s="21" t="s">
        <v>644</v>
      </c>
      <c r="E233" s="20" t="s">
        <v>233</v>
      </c>
      <c r="F233" s="16">
        <v>1</v>
      </c>
      <c r="G233" s="16" t="s">
        <v>645</v>
      </c>
      <c r="H233" s="16" t="s">
        <v>160</v>
      </c>
      <c r="I233" s="16">
        <v>4350000</v>
      </c>
      <c r="J233" s="17">
        <v>3650000</v>
      </c>
      <c r="K233" s="17">
        <f t="shared" si="6"/>
        <v>3650000</v>
      </c>
      <c r="L233" s="69">
        <f t="shared" si="7"/>
        <v>3480000</v>
      </c>
    </row>
    <row r="234" spans="1:12" s="11" customFormat="1" ht="117.75" customHeight="1">
      <c r="A234" s="20">
        <v>230</v>
      </c>
      <c r="B234" s="21" t="s">
        <v>646</v>
      </c>
      <c r="C234" s="25" t="s">
        <v>647</v>
      </c>
      <c r="D234" s="25"/>
      <c r="E234" s="20" t="s">
        <v>167</v>
      </c>
      <c r="F234" s="16">
        <v>6</v>
      </c>
      <c r="G234" s="16" t="s">
        <v>648</v>
      </c>
      <c r="H234" s="16" t="s">
        <v>143</v>
      </c>
      <c r="I234" s="16">
        <v>3250000</v>
      </c>
      <c r="J234" s="17">
        <v>2600000</v>
      </c>
      <c r="K234" s="17">
        <f t="shared" si="6"/>
        <v>15600000</v>
      </c>
      <c r="L234" s="69">
        <f t="shared" si="7"/>
        <v>2600000</v>
      </c>
    </row>
    <row r="235" spans="1:12" s="11" customFormat="1" ht="63">
      <c r="A235" s="20">
        <v>231</v>
      </c>
      <c r="B235" s="21" t="s">
        <v>649</v>
      </c>
      <c r="C235" s="25" t="s">
        <v>650</v>
      </c>
      <c r="D235" s="25"/>
      <c r="E235" s="20" t="s">
        <v>68</v>
      </c>
      <c r="F235" s="16">
        <v>6</v>
      </c>
      <c r="G235" s="16" t="s">
        <v>651</v>
      </c>
      <c r="H235" s="16" t="s">
        <v>73</v>
      </c>
      <c r="I235" s="16">
        <v>820000</v>
      </c>
      <c r="J235" s="17">
        <v>656000</v>
      </c>
      <c r="K235" s="17">
        <f t="shared" si="6"/>
        <v>3936000</v>
      </c>
      <c r="L235" s="69">
        <f t="shared" si="7"/>
        <v>656000</v>
      </c>
    </row>
    <row r="236" spans="1:12" s="11" customFormat="1" ht="173.25">
      <c r="A236" s="20">
        <v>232</v>
      </c>
      <c r="B236" s="21" t="s">
        <v>652</v>
      </c>
      <c r="C236" s="25" t="s">
        <v>653</v>
      </c>
      <c r="D236" s="25"/>
      <c r="E236" s="20" t="s">
        <v>68</v>
      </c>
      <c r="F236" s="16">
        <v>6</v>
      </c>
      <c r="G236" s="16" t="s">
        <v>654</v>
      </c>
      <c r="H236" s="16" t="s">
        <v>15</v>
      </c>
      <c r="I236" s="16">
        <v>350000</v>
      </c>
      <c r="J236" s="17">
        <v>350000</v>
      </c>
      <c r="K236" s="17">
        <f t="shared" si="6"/>
        <v>2100000</v>
      </c>
      <c r="L236" s="69">
        <f t="shared" si="7"/>
        <v>280000</v>
      </c>
    </row>
    <row r="237" spans="1:12" s="11" customFormat="1" ht="78.75">
      <c r="A237" s="20">
        <v>233</v>
      </c>
      <c r="B237" s="21" t="s">
        <v>655</v>
      </c>
      <c r="C237" s="25" t="s">
        <v>656</v>
      </c>
      <c r="D237" s="25"/>
      <c r="E237" s="20" t="s">
        <v>657</v>
      </c>
      <c r="F237" s="16">
        <v>400</v>
      </c>
      <c r="G237" s="16" t="s">
        <v>658</v>
      </c>
      <c r="H237" s="16" t="s">
        <v>15</v>
      </c>
      <c r="I237" s="16">
        <v>8000</v>
      </c>
      <c r="J237" s="17">
        <v>8000</v>
      </c>
      <c r="K237" s="17">
        <f t="shared" si="6"/>
        <v>3200000</v>
      </c>
      <c r="L237" s="69">
        <f t="shared" si="7"/>
        <v>6400</v>
      </c>
    </row>
    <row r="238" spans="1:12" s="11" customFormat="1" ht="157.5">
      <c r="A238" s="20">
        <v>234</v>
      </c>
      <c r="B238" s="21" t="s">
        <v>659</v>
      </c>
      <c r="C238" s="38" t="s">
        <v>660</v>
      </c>
      <c r="D238" s="25"/>
      <c r="E238" s="20" t="s">
        <v>68</v>
      </c>
      <c r="F238" s="16">
        <v>600</v>
      </c>
      <c r="G238" s="16" t="s">
        <v>654</v>
      </c>
      <c r="H238" s="16" t="s">
        <v>15</v>
      </c>
      <c r="I238" s="16">
        <v>6000</v>
      </c>
      <c r="J238" s="17">
        <v>4800</v>
      </c>
      <c r="K238" s="17">
        <f t="shared" si="6"/>
        <v>2880000</v>
      </c>
      <c r="L238" s="69">
        <f t="shared" si="7"/>
        <v>4800</v>
      </c>
    </row>
    <row r="239" spans="1:12" s="11" customFormat="1" ht="110.25">
      <c r="A239" s="20">
        <v>235</v>
      </c>
      <c r="B239" s="21" t="s">
        <v>661</v>
      </c>
      <c r="C239" s="25" t="s">
        <v>662</v>
      </c>
      <c r="D239" s="25"/>
      <c r="E239" s="20" t="s">
        <v>167</v>
      </c>
      <c r="F239" s="16">
        <v>6</v>
      </c>
      <c r="G239" s="16" t="s">
        <v>663</v>
      </c>
      <c r="H239" s="16" t="s">
        <v>15</v>
      </c>
      <c r="I239" s="16">
        <v>190000</v>
      </c>
      <c r="J239" s="17">
        <v>340000</v>
      </c>
      <c r="K239" s="17">
        <f t="shared" si="6"/>
        <v>2040000</v>
      </c>
      <c r="L239" s="69">
        <f t="shared" si="7"/>
        <v>152000</v>
      </c>
    </row>
    <row r="240" spans="1:12" s="11" customFormat="1" ht="94.5">
      <c r="A240" s="20">
        <v>236</v>
      </c>
      <c r="B240" s="21" t="s">
        <v>664</v>
      </c>
      <c r="C240" s="25" t="s">
        <v>665</v>
      </c>
      <c r="D240" s="25"/>
      <c r="E240" s="20" t="s">
        <v>289</v>
      </c>
      <c r="F240" s="16">
        <v>2</v>
      </c>
      <c r="G240" s="16" t="s">
        <v>54</v>
      </c>
      <c r="H240" s="16" t="s">
        <v>15</v>
      </c>
      <c r="I240" s="16">
        <v>78000</v>
      </c>
      <c r="J240" s="17">
        <v>250000</v>
      </c>
      <c r="K240" s="17">
        <f t="shared" si="6"/>
        <v>500000</v>
      </c>
      <c r="L240" s="69">
        <f t="shared" si="7"/>
        <v>62400</v>
      </c>
    </row>
    <row r="241" spans="1:12" s="11" customFormat="1" ht="94.5">
      <c r="A241" s="20">
        <v>237</v>
      </c>
      <c r="B241" s="21" t="s">
        <v>666</v>
      </c>
      <c r="C241" s="25" t="s">
        <v>667</v>
      </c>
      <c r="D241" s="25"/>
      <c r="E241" s="20" t="s">
        <v>289</v>
      </c>
      <c r="F241" s="16">
        <v>2</v>
      </c>
      <c r="G241" s="16" t="s">
        <v>54</v>
      </c>
      <c r="H241" s="16" t="s">
        <v>15</v>
      </c>
      <c r="I241" s="16">
        <v>78000</v>
      </c>
      <c r="J241" s="17">
        <v>250000</v>
      </c>
      <c r="K241" s="17">
        <f t="shared" si="6"/>
        <v>500000</v>
      </c>
      <c r="L241" s="69">
        <f t="shared" si="7"/>
        <v>62400</v>
      </c>
    </row>
    <row r="242" spans="1:12" s="11" customFormat="1" ht="94.5">
      <c r="A242" s="20">
        <v>238</v>
      </c>
      <c r="B242" s="21" t="s">
        <v>668</v>
      </c>
      <c r="C242" s="25" t="s">
        <v>669</v>
      </c>
      <c r="D242" s="25"/>
      <c r="E242" s="20" t="s">
        <v>289</v>
      </c>
      <c r="F242" s="16">
        <v>2</v>
      </c>
      <c r="G242" s="16" t="s">
        <v>54</v>
      </c>
      <c r="H242" s="16" t="s">
        <v>15</v>
      </c>
      <c r="I242" s="16">
        <v>78000</v>
      </c>
      <c r="J242" s="17">
        <v>250000</v>
      </c>
      <c r="K242" s="17">
        <f t="shared" si="6"/>
        <v>500000</v>
      </c>
      <c r="L242" s="69">
        <f t="shared" si="7"/>
        <v>62400</v>
      </c>
    </row>
    <row r="243" spans="1:12" s="11" customFormat="1">
      <c r="A243" s="20">
        <v>239</v>
      </c>
      <c r="B243" s="32" t="s">
        <v>670</v>
      </c>
      <c r="C243" s="25" t="s">
        <v>671</v>
      </c>
      <c r="D243" s="25"/>
      <c r="E243" s="28" t="s">
        <v>156</v>
      </c>
      <c r="F243" s="16">
        <v>22</v>
      </c>
      <c r="G243" s="16"/>
      <c r="H243" s="16" t="s">
        <v>15</v>
      </c>
      <c r="I243" s="16">
        <v>950000</v>
      </c>
      <c r="J243" s="17">
        <v>760000</v>
      </c>
      <c r="K243" s="17">
        <f t="shared" si="6"/>
        <v>16720000</v>
      </c>
      <c r="L243" s="69">
        <f t="shared" si="7"/>
        <v>760000</v>
      </c>
    </row>
    <row r="244" spans="1:12" s="11" customFormat="1">
      <c r="A244" s="20">
        <v>240</v>
      </c>
      <c r="B244" s="25" t="s">
        <v>672</v>
      </c>
      <c r="C244" s="25" t="s">
        <v>673</v>
      </c>
      <c r="D244" s="25"/>
      <c r="E244" s="28" t="s">
        <v>65</v>
      </c>
      <c r="F244" s="16">
        <v>30</v>
      </c>
      <c r="G244" s="16" t="s">
        <v>54</v>
      </c>
      <c r="H244" s="16" t="s">
        <v>15</v>
      </c>
      <c r="I244" s="16">
        <v>45000</v>
      </c>
      <c r="J244" s="17">
        <v>36000</v>
      </c>
      <c r="K244" s="17">
        <f t="shared" si="6"/>
        <v>1080000</v>
      </c>
      <c r="L244" s="69">
        <f t="shared" si="7"/>
        <v>36000</v>
      </c>
    </row>
    <row r="245" spans="1:12" s="11" customFormat="1" ht="236.25">
      <c r="A245" s="20">
        <v>241</v>
      </c>
      <c r="B245" s="25" t="s">
        <v>674</v>
      </c>
      <c r="C245" s="25" t="s">
        <v>675</v>
      </c>
      <c r="D245" s="25" t="s">
        <v>676</v>
      </c>
      <c r="E245" s="28" t="s">
        <v>65</v>
      </c>
      <c r="F245" s="16">
        <v>30</v>
      </c>
      <c r="G245" s="16" t="s">
        <v>54</v>
      </c>
      <c r="H245" s="16" t="s">
        <v>15</v>
      </c>
      <c r="I245" s="16">
        <v>55000</v>
      </c>
      <c r="J245" s="17">
        <v>44000</v>
      </c>
      <c r="K245" s="17">
        <f t="shared" si="6"/>
        <v>1320000</v>
      </c>
      <c r="L245" s="69">
        <f t="shared" si="7"/>
        <v>44000</v>
      </c>
    </row>
    <row r="246" spans="1:12" s="11" customFormat="1" ht="31.5">
      <c r="A246" s="20">
        <v>242</v>
      </c>
      <c r="B246" s="21" t="s">
        <v>677</v>
      </c>
      <c r="C246" s="25" t="s">
        <v>678</v>
      </c>
      <c r="D246" s="25"/>
      <c r="E246" s="28" t="s">
        <v>53</v>
      </c>
      <c r="F246" s="26">
        <v>2</v>
      </c>
      <c r="G246" s="26" t="s">
        <v>648</v>
      </c>
      <c r="H246" s="26" t="s">
        <v>143</v>
      </c>
      <c r="I246" s="26">
        <v>445000</v>
      </c>
      <c r="J246" s="17">
        <v>356000</v>
      </c>
      <c r="K246" s="17">
        <f t="shared" si="6"/>
        <v>712000</v>
      </c>
      <c r="L246" s="69">
        <f t="shared" si="7"/>
        <v>356000</v>
      </c>
    </row>
    <row r="247" spans="1:12" s="11" customFormat="1">
      <c r="A247" s="20">
        <v>243</v>
      </c>
      <c r="B247" s="32" t="s">
        <v>679</v>
      </c>
      <c r="C247" s="25"/>
      <c r="D247" s="25"/>
      <c r="E247" s="28" t="s">
        <v>53</v>
      </c>
      <c r="F247" s="26">
        <v>8</v>
      </c>
      <c r="G247" s="26" t="s">
        <v>54</v>
      </c>
      <c r="H247" s="26" t="s">
        <v>15</v>
      </c>
      <c r="I247" s="26">
        <v>75000</v>
      </c>
      <c r="J247" s="17">
        <v>60000</v>
      </c>
      <c r="K247" s="17">
        <f t="shared" si="6"/>
        <v>480000</v>
      </c>
      <c r="L247" s="69">
        <f t="shared" si="7"/>
        <v>60000</v>
      </c>
    </row>
    <row r="248" spans="1:12" s="11" customFormat="1">
      <c r="A248" s="20">
        <v>244</v>
      </c>
      <c r="B248" s="23" t="s">
        <v>680</v>
      </c>
      <c r="C248" s="25" t="s">
        <v>681</v>
      </c>
      <c r="D248" s="25"/>
      <c r="E248" s="28" t="s">
        <v>68</v>
      </c>
      <c r="F248" s="26">
        <v>13</v>
      </c>
      <c r="G248" s="26" t="s">
        <v>54</v>
      </c>
      <c r="H248" s="26" t="s">
        <v>15</v>
      </c>
      <c r="I248" s="26">
        <v>203000</v>
      </c>
      <c r="J248" s="17">
        <v>162400</v>
      </c>
      <c r="K248" s="17">
        <f t="shared" si="6"/>
        <v>2111200</v>
      </c>
      <c r="L248" s="69">
        <f t="shared" si="7"/>
        <v>162400</v>
      </c>
    </row>
    <row r="249" spans="1:12" s="11" customFormat="1" ht="189">
      <c r="A249" s="20">
        <v>245</v>
      </c>
      <c r="B249" s="24" t="s">
        <v>682</v>
      </c>
      <c r="C249" s="25"/>
      <c r="D249" s="25" t="s">
        <v>683</v>
      </c>
      <c r="E249" s="28" t="s">
        <v>68</v>
      </c>
      <c r="F249" s="26">
        <v>13</v>
      </c>
      <c r="G249" s="26" t="s">
        <v>138</v>
      </c>
      <c r="H249" s="26" t="s">
        <v>160</v>
      </c>
      <c r="I249" s="26" t="s">
        <v>1052</v>
      </c>
      <c r="J249" s="17">
        <v>305600</v>
      </c>
      <c r="K249" s="17">
        <f t="shared" si="6"/>
        <v>3972800</v>
      </c>
      <c r="L249" s="69" t="e">
        <f t="shared" si="7"/>
        <v>#VALUE!</v>
      </c>
    </row>
    <row r="250" spans="1:12" s="11" customFormat="1" ht="47.25">
      <c r="A250" s="20">
        <v>246</v>
      </c>
      <c r="B250" s="25" t="s">
        <v>684</v>
      </c>
      <c r="C250" s="25" t="s">
        <v>685</v>
      </c>
      <c r="D250" s="25" t="s">
        <v>686</v>
      </c>
      <c r="E250" s="31" t="s">
        <v>68</v>
      </c>
      <c r="F250" s="16">
        <v>2</v>
      </c>
      <c r="G250" s="16" t="s">
        <v>687</v>
      </c>
      <c r="H250" s="16" t="s">
        <v>50</v>
      </c>
      <c r="I250" s="16">
        <v>1250000</v>
      </c>
      <c r="J250" s="17">
        <v>1000000</v>
      </c>
      <c r="K250" s="17">
        <f t="shared" si="6"/>
        <v>2000000</v>
      </c>
      <c r="L250" s="69">
        <f t="shared" si="7"/>
        <v>1000000</v>
      </c>
    </row>
    <row r="251" spans="1:12" s="11" customFormat="1">
      <c r="A251" s="20">
        <v>247</v>
      </c>
      <c r="B251" s="32" t="s">
        <v>688</v>
      </c>
      <c r="C251" s="25" t="s">
        <v>688</v>
      </c>
      <c r="D251" s="25"/>
      <c r="E251" s="20" t="s">
        <v>563</v>
      </c>
      <c r="F251" s="26">
        <v>8</v>
      </c>
      <c r="G251" s="26" t="s">
        <v>689</v>
      </c>
      <c r="H251" s="26" t="s">
        <v>160</v>
      </c>
      <c r="I251" s="26">
        <v>2450000</v>
      </c>
      <c r="J251" s="17">
        <v>1960000</v>
      </c>
      <c r="K251" s="17">
        <f t="shared" si="6"/>
        <v>15680000</v>
      </c>
      <c r="L251" s="69">
        <f t="shared" si="7"/>
        <v>1960000</v>
      </c>
    </row>
    <row r="252" spans="1:12" s="11" customFormat="1">
      <c r="A252" s="20">
        <v>248</v>
      </c>
      <c r="B252" s="32" t="s">
        <v>690</v>
      </c>
      <c r="C252" s="25" t="s">
        <v>691</v>
      </c>
      <c r="D252" s="25"/>
      <c r="E252" s="28" t="s">
        <v>563</v>
      </c>
      <c r="F252" s="26">
        <v>5</v>
      </c>
      <c r="G252" s="26" t="s">
        <v>692</v>
      </c>
      <c r="H252" s="26" t="s">
        <v>160</v>
      </c>
      <c r="I252" s="26">
        <v>720000</v>
      </c>
      <c r="J252" s="17">
        <v>576000</v>
      </c>
      <c r="K252" s="17">
        <f t="shared" si="6"/>
        <v>2880000</v>
      </c>
      <c r="L252" s="69">
        <f t="shared" si="7"/>
        <v>576000</v>
      </c>
    </row>
    <row r="253" spans="1:12" s="11" customFormat="1">
      <c r="A253" s="20">
        <v>249</v>
      </c>
      <c r="B253" s="32" t="s">
        <v>693</v>
      </c>
      <c r="C253" s="25" t="s">
        <v>691</v>
      </c>
      <c r="D253" s="25"/>
      <c r="E253" s="28" t="s">
        <v>563</v>
      </c>
      <c r="F253" s="26">
        <v>5</v>
      </c>
      <c r="G253" s="26" t="s">
        <v>692</v>
      </c>
      <c r="H253" s="26" t="s">
        <v>160</v>
      </c>
      <c r="I253" s="26">
        <v>940000</v>
      </c>
      <c r="J253" s="17">
        <v>752000</v>
      </c>
      <c r="K253" s="17">
        <f t="shared" si="6"/>
        <v>3760000</v>
      </c>
      <c r="L253" s="69">
        <f t="shared" si="7"/>
        <v>752000</v>
      </c>
    </row>
    <row r="254" spans="1:12" s="11" customFormat="1">
      <c r="A254" s="20">
        <v>250</v>
      </c>
      <c r="B254" s="32" t="s">
        <v>694</v>
      </c>
      <c r="C254" s="25" t="s">
        <v>691</v>
      </c>
      <c r="D254" s="25"/>
      <c r="E254" s="28" t="s">
        <v>695</v>
      </c>
      <c r="F254" s="26">
        <v>10</v>
      </c>
      <c r="G254" s="26" t="s">
        <v>692</v>
      </c>
      <c r="H254" s="26" t="s">
        <v>160</v>
      </c>
      <c r="I254" s="26">
        <v>670000</v>
      </c>
      <c r="J254" s="17">
        <v>536000</v>
      </c>
      <c r="K254" s="17">
        <f t="shared" si="6"/>
        <v>5360000</v>
      </c>
      <c r="L254" s="69">
        <f t="shared" si="7"/>
        <v>536000</v>
      </c>
    </row>
    <row r="255" spans="1:12" s="11" customFormat="1" ht="110.25">
      <c r="A255" s="20">
        <v>251</v>
      </c>
      <c r="B255" s="32" t="s">
        <v>696</v>
      </c>
      <c r="C255" s="25" t="s">
        <v>697</v>
      </c>
      <c r="D255" s="25" t="s">
        <v>698</v>
      </c>
      <c r="E255" s="28" t="s">
        <v>68</v>
      </c>
      <c r="F255" s="26">
        <v>5</v>
      </c>
      <c r="G255" s="26" t="s">
        <v>699</v>
      </c>
      <c r="H255" s="26" t="s">
        <v>527</v>
      </c>
      <c r="I255" s="26">
        <v>1020000</v>
      </c>
      <c r="J255" s="17">
        <v>900000</v>
      </c>
      <c r="K255" s="17">
        <f t="shared" si="6"/>
        <v>4500000</v>
      </c>
      <c r="L255" s="69">
        <f t="shared" si="7"/>
        <v>816000</v>
      </c>
    </row>
    <row r="256" spans="1:12" s="11" customFormat="1" ht="126">
      <c r="A256" s="20">
        <v>252</v>
      </c>
      <c r="B256" s="21" t="s">
        <v>700</v>
      </c>
      <c r="C256" s="25" t="s">
        <v>701</v>
      </c>
      <c r="D256" s="25" t="s">
        <v>702</v>
      </c>
      <c r="E256" s="28" t="s">
        <v>703</v>
      </c>
      <c r="F256" s="26">
        <v>90</v>
      </c>
      <c r="G256" s="26" t="s">
        <v>704</v>
      </c>
      <c r="H256" s="26" t="s">
        <v>527</v>
      </c>
      <c r="I256" s="26">
        <v>63000</v>
      </c>
      <c r="J256" s="17">
        <v>60000</v>
      </c>
      <c r="K256" s="17">
        <f t="shared" si="6"/>
        <v>5400000</v>
      </c>
      <c r="L256" s="69">
        <f t="shared" si="7"/>
        <v>50400</v>
      </c>
    </row>
    <row r="257" spans="1:12" s="11" customFormat="1" ht="31.5">
      <c r="A257" s="20">
        <v>253</v>
      </c>
      <c r="B257" s="21" t="s">
        <v>705</v>
      </c>
      <c r="C257" s="25" t="s">
        <v>706</v>
      </c>
      <c r="D257" s="25" t="s">
        <v>706</v>
      </c>
      <c r="E257" s="28" t="s">
        <v>68</v>
      </c>
      <c r="F257" s="26">
        <v>25</v>
      </c>
      <c r="G257" s="26" t="s">
        <v>648</v>
      </c>
      <c r="H257" s="26" t="s">
        <v>143</v>
      </c>
      <c r="I257" s="26">
        <v>62000</v>
      </c>
      <c r="J257" s="17">
        <v>49600</v>
      </c>
      <c r="K257" s="17">
        <f t="shared" si="6"/>
        <v>1240000</v>
      </c>
      <c r="L257" s="69">
        <f t="shared" si="7"/>
        <v>49600</v>
      </c>
    </row>
    <row r="258" spans="1:12" s="11" customFormat="1" ht="31.5">
      <c r="A258" s="20">
        <v>254</v>
      </c>
      <c r="B258" s="23" t="s">
        <v>707</v>
      </c>
      <c r="C258" s="25"/>
      <c r="D258" s="25" t="s">
        <v>708</v>
      </c>
      <c r="E258" s="28" t="s">
        <v>68</v>
      </c>
      <c r="F258" s="26">
        <v>13</v>
      </c>
      <c r="G258" s="26" t="s">
        <v>709</v>
      </c>
      <c r="H258" s="39" t="s">
        <v>710</v>
      </c>
      <c r="I258" s="26">
        <v>410000</v>
      </c>
      <c r="J258" s="17">
        <v>328000</v>
      </c>
      <c r="K258" s="17">
        <f t="shared" si="6"/>
        <v>4264000</v>
      </c>
      <c r="L258" s="69">
        <f t="shared" si="7"/>
        <v>328000</v>
      </c>
    </row>
    <row r="259" spans="1:12" s="11" customFormat="1" ht="50.1" customHeight="1">
      <c r="A259" s="20">
        <v>255</v>
      </c>
      <c r="B259" s="77" t="s">
        <v>711</v>
      </c>
      <c r="C259" s="21" t="s">
        <v>712</v>
      </c>
      <c r="D259" s="21" t="s">
        <v>713</v>
      </c>
      <c r="E259" s="28" t="s">
        <v>167</v>
      </c>
      <c r="F259" s="26">
        <v>30</v>
      </c>
      <c r="G259" s="26" t="s">
        <v>714</v>
      </c>
      <c r="H259" s="26" t="s">
        <v>160</v>
      </c>
      <c r="I259" s="26">
        <v>105000</v>
      </c>
      <c r="J259" s="17">
        <v>84000</v>
      </c>
      <c r="K259" s="17">
        <f t="shared" si="6"/>
        <v>2520000</v>
      </c>
      <c r="L259" s="69">
        <f t="shared" si="7"/>
        <v>84000</v>
      </c>
    </row>
    <row r="260" spans="1:12" s="11" customFormat="1" ht="36" customHeight="1">
      <c r="A260" s="20">
        <v>256</v>
      </c>
      <c r="B260" s="77"/>
      <c r="C260" s="21" t="s">
        <v>715</v>
      </c>
      <c r="D260" s="21" t="s">
        <v>716</v>
      </c>
      <c r="E260" s="28" t="s">
        <v>167</v>
      </c>
      <c r="F260" s="26">
        <v>30</v>
      </c>
      <c r="G260" s="26" t="s">
        <v>714</v>
      </c>
      <c r="H260" s="26" t="s">
        <v>160</v>
      </c>
      <c r="I260" s="26">
        <v>109000</v>
      </c>
      <c r="J260" s="17">
        <v>87200</v>
      </c>
      <c r="K260" s="17">
        <f t="shared" si="6"/>
        <v>2616000</v>
      </c>
      <c r="L260" s="69">
        <f t="shared" si="7"/>
        <v>87200</v>
      </c>
    </row>
    <row r="261" spans="1:12" s="11" customFormat="1" ht="19.899999999999999" customHeight="1">
      <c r="A261" s="20">
        <v>257</v>
      </c>
      <c r="B261" s="77"/>
      <c r="C261" s="21" t="s">
        <v>717</v>
      </c>
      <c r="D261" s="21" t="s">
        <v>718</v>
      </c>
      <c r="E261" s="28" t="s">
        <v>167</v>
      </c>
      <c r="F261" s="26">
        <v>30</v>
      </c>
      <c r="G261" s="26" t="s">
        <v>714</v>
      </c>
      <c r="H261" s="26" t="s">
        <v>160</v>
      </c>
      <c r="I261" s="26">
        <v>125000</v>
      </c>
      <c r="J261" s="17">
        <v>100000</v>
      </c>
      <c r="K261" s="17">
        <f t="shared" ref="K261:K321" si="8">F261*J261</f>
        <v>3000000</v>
      </c>
      <c r="L261" s="69">
        <f t="shared" si="7"/>
        <v>100000</v>
      </c>
    </row>
    <row r="262" spans="1:12" s="11" customFormat="1" ht="19.899999999999999" customHeight="1">
      <c r="A262" s="20">
        <v>258</v>
      </c>
      <c r="B262" s="77"/>
      <c r="C262" s="21" t="s">
        <v>719</v>
      </c>
      <c r="D262" s="40" t="s">
        <v>720</v>
      </c>
      <c r="E262" s="28" t="s">
        <v>167</v>
      </c>
      <c r="F262" s="26">
        <v>30</v>
      </c>
      <c r="G262" s="26" t="s">
        <v>714</v>
      </c>
      <c r="H262" s="26" t="s">
        <v>160</v>
      </c>
      <c r="I262" s="26">
        <v>127000</v>
      </c>
      <c r="J262" s="17">
        <v>101600</v>
      </c>
      <c r="K262" s="17">
        <f t="shared" si="8"/>
        <v>3048000</v>
      </c>
      <c r="L262" s="69">
        <f t="shared" ref="L262:L325" si="9">I262*80%</f>
        <v>101600</v>
      </c>
    </row>
    <row r="263" spans="1:12" s="11" customFormat="1" ht="19.899999999999999" customHeight="1">
      <c r="A263" s="20">
        <v>259</v>
      </c>
      <c r="B263" s="77"/>
      <c r="C263" s="21" t="s">
        <v>721</v>
      </c>
      <c r="D263" s="40" t="s">
        <v>722</v>
      </c>
      <c r="E263" s="28" t="s">
        <v>167</v>
      </c>
      <c r="F263" s="26">
        <v>30</v>
      </c>
      <c r="G263" s="26" t="s">
        <v>714</v>
      </c>
      <c r="H263" s="26" t="s">
        <v>160</v>
      </c>
      <c r="I263" s="26">
        <v>135000</v>
      </c>
      <c r="J263" s="17">
        <v>108000</v>
      </c>
      <c r="K263" s="17">
        <f t="shared" si="8"/>
        <v>3240000</v>
      </c>
      <c r="L263" s="69">
        <f t="shared" si="9"/>
        <v>108000</v>
      </c>
    </row>
    <row r="264" spans="1:12" s="11" customFormat="1" ht="19.899999999999999" customHeight="1">
      <c r="A264" s="20">
        <v>260</v>
      </c>
      <c r="B264" s="77"/>
      <c r="C264" s="21" t="s">
        <v>723</v>
      </c>
      <c r="D264" s="40" t="s">
        <v>724</v>
      </c>
      <c r="E264" s="28" t="s">
        <v>167</v>
      </c>
      <c r="F264" s="26">
        <v>6</v>
      </c>
      <c r="G264" s="26" t="s">
        <v>714</v>
      </c>
      <c r="H264" s="26" t="s">
        <v>160</v>
      </c>
      <c r="I264" s="26">
        <v>180000</v>
      </c>
      <c r="J264" s="17">
        <v>144000</v>
      </c>
      <c r="K264" s="17">
        <f t="shared" si="8"/>
        <v>864000</v>
      </c>
      <c r="L264" s="69">
        <f t="shared" si="9"/>
        <v>144000</v>
      </c>
    </row>
    <row r="265" spans="1:12" s="11" customFormat="1" ht="29.25" customHeight="1">
      <c r="A265" s="20">
        <v>261</v>
      </c>
      <c r="B265" s="77" t="s">
        <v>725</v>
      </c>
      <c r="C265" s="21" t="s">
        <v>726</v>
      </c>
      <c r="D265" s="21" t="s">
        <v>1414</v>
      </c>
      <c r="E265" s="28" t="s">
        <v>167</v>
      </c>
      <c r="F265" s="26">
        <v>30</v>
      </c>
      <c r="G265" s="26" t="s">
        <v>727</v>
      </c>
      <c r="H265" s="26" t="s">
        <v>160</v>
      </c>
      <c r="I265" s="26">
        <v>128000</v>
      </c>
      <c r="J265" s="17">
        <v>102400</v>
      </c>
      <c r="K265" s="17">
        <f t="shared" si="8"/>
        <v>3072000</v>
      </c>
      <c r="L265" s="69">
        <f t="shared" si="9"/>
        <v>102400</v>
      </c>
    </row>
    <row r="266" spans="1:12" s="11" customFormat="1" ht="27.75" customHeight="1">
      <c r="A266" s="20">
        <v>262</v>
      </c>
      <c r="B266" s="77"/>
      <c r="C266" s="21" t="s">
        <v>728</v>
      </c>
      <c r="D266" s="21" t="s">
        <v>729</v>
      </c>
      <c r="E266" s="28" t="s">
        <v>167</v>
      </c>
      <c r="F266" s="26">
        <v>45</v>
      </c>
      <c r="G266" s="26" t="s">
        <v>727</v>
      </c>
      <c r="H266" s="26" t="s">
        <v>160</v>
      </c>
      <c r="I266" s="26">
        <v>161000</v>
      </c>
      <c r="J266" s="17">
        <v>128800</v>
      </c>
      <c r="K266" s="17">
        <f t="shared" si="8"/>
        <v>5796000</v>
      </c>
      <c r="L266" s="69">
        <f t="shared" si="9"/>
        <v>128800</v>
      </c>
    </row>
    <row r="267" spans="1:12" s="11" customFormat="1" ht="19.899999999999999" customHeight="1">
      <c r="A267" s="20">
        <v>263</v>
      </c>
      <c r="B267" s="77"/>
      <c r="C267" s="21" t="s">
        <v>730</v>
      </c>
      <c r="D267" s="21" t="s">
        <v>1416</v>
      </c>
      <c r="E267" s="28" t="s">
        <v>167</v>
      </c>
      <c r="F267" s="26">
        <v>50</v>
      </c>
      <c r="G267" s="26" t="s">
        <v>727</v>
      </c>
      <c r="H267" s="26" t="s">
        <v>160</v>
      </c>
      <c r="I267" s="26">
        <v>165000</v>
      </c>
      <c r="J267" s="17">
        <v>132000</v>
      </c>
      <c r="K267" s="17">
        <f t="shared" si="8"/>
        <v>6600000</v>
      </c>
      <c r="L267" s="69">
        <f t="shared" si="9"/>
        <v>132000</v>
      </c>
    </row>
    <row r="268" spans="1:12" s="11" customFormat="1" ht="24" customHeight="1">
      <c r="A268" s="20">
        <v>264</v>
      </c>
      <c r="B268" s="77"/>
      <c r="C268" s="21" t="s">
        <v>731</v>
      </c>
      <c r="D268" s="21" t="s">
        <v>732</v>
      </c>
      <c r="E268" s="28" t="s">
        <v>167</v>
      </c>
      <c r="F268" s="26">
        <v>50</v>
      </c>
      <c r="G268" s="26" t="s">
        <v>727</v>
      </c>
      <c r="H268" s="26" t="s">
        <v>160</v>
      </c>
      <c r="I268" s="26">
        <v>295000</v>
      </c>
      <c r="J268" s="17">
        <v>236000</v>
      </c>
      <c r="K268" s="17">
        <f t="shared" si="8"/>
        <v>11800000</v>
      </c>
      <c r="L268" s="69">
        <f t="shared" si="9"/>
        <v>236000</v>
      </c>
    </row>
    <row r="269" spans="1:12" s="11" customFormat="1" ht="21.75" customHeight="1">
      <c r="A269" s="20">
        <v>265</v>
      </c>
      <c r="B269" s="77"/>
      <c r="C269" s="21" t="s">
        <v>733</v>
      </c>
      <c r="D269" s="21" t="s">
        <v>734</v>
      </c>
      <c r="E269" s="28" t="s">
        <v>167</v>
      </c>
      <c r="F269" s="26">
        <v>45</v>
      </c>
      <c r="G269" s="26" t="s">
        <v>727</v>
      </c>
      <c r="H269" s="26" t="s">
        <v>160</v>
      </c>
      <c r="I269" s="26">
        <v>315000</v>
      </c>
      <c r="J269" s="17">
        <v>252000</v>
      </c>
      <c r="K269" s="17">
        <f t="shared" si="8"/>
        <v>11340000</v>
      </c>
      <c r="L269" s="69">
        <f t="shared" si="9"/>
        <v>252000</v>
      </c>
    </row>
    <row r="270" spans="1:12" s="11" customFormat="1" ht="24" customHeight="1">
      <c r="A270" s="20">
        <v>266</v>
      </c>
      <c r="B270" s="77"/>
      <c r="C270" s="21" t="s">
        <v>735</v>
      </c>
      <c r="D270" s="21" t="s">
        <v>736</v>
      </c>
      <c r="E270" s="28" t="s">
        <v>167</v>
      </c>
      <c r="F270" s="26">
        <v>36</v>
      </c>
      <c r="G270" s="26" t="s">
        <v>714</v>
      </c>
      <c r="H270" s="26" t="s">
        <v>160</v>
      </c>
      <c r="I270" s="26">
        <v>350000</v>
      </c>
      <c r="J270" s="17">
        <v>280000</v>
      </c>
      <c r="K270" s="17">
        <f t="shared" si="8"/>
        <v>10080000</v>
      </c>
      <c r="L270" s="69">
        <f t="shared" si="9"/>
        <v>280000</v>
      </c>
    </row>
    <row r="271" spans="1:12" s="11" customFormat="1" ht="57.75" customHeight="1">
      <c r="A271" s="20">
        <v>267</v>
      </c>
      <c r="B271" s="25" t="s">
        <v>737</v>
      </c>
      <c r="C271" s="41" t="s">
        <v>738</v>
      </c>
      <c r="D271" s="21" t="s">
        <v>1415</v>
      </c>
      <c r="E271" s="28" t="s">
        <v>289</v>
      </c>
      <c r="F271" s="26">
        <v>4</v>
      </c>
      <c r="G271" s="26" t="s">
        <v>54</v>
      </c>
      <c r="H271" s="26" t="s">
        <v>739</v>
      </c>
      <c r="I271" s="26">
        <v>1478000</v>
      </c>
      <c r="J271" s="17">
        <v>1182400</v>
      </c>
      <c r="K271" s="17">
        <f t="shared" si="8"/>
        <v>4729600</v>
      </c>
      <c r="L271" s="69">
        <f t="shared" si="9"/>
        <v>1182400</v>
      </c>
    </row>
    <row r="272" spans="1:12" s="11" customFormat="1" ht="36" customHeight="1">
      <c r="A272" s="20">
        <v>268</v>
      </c>
      <c r="B272" s="25" t="s">
        <v>740</v>
      </c>
      <c r="C272" s="21" t="s">
        <v>741</v>
      </c>
      <c r="D272" s="21"/>
      <c r="E272" s="20" t="s">
        <v>418</v>
      </c>
      <c r="F272" s="16">
        <v>20</v>
      </c>
      <c r="G272" s="16" t="s">
        <v>54</v>
      </c>
      <c r="H272" s="16" t="s">
        <v>81</v>
      </c>
      <c r="I272" s="16">
        <v>345000</v>
      </c>
      <c r="J272" s="17">
        <v>276000</v>
      </c>
      <c r="K272" s="17">
        <f t="shared" si="8"/>
        <v>5520000</v>
      </c>
      <c r="L272" s="69">
        <f t="shared" si="9"/>
        <v>276000</v>
      </c>
    </row>
    <row r="273" spans="1:12" s="11" customFormat="1" ht="47.25">
      <c r="A273" s="20">
        <v>269</v>
      </c>
      <c r="B273" s="32" t="s">
        <v>742</v>
      </c>
      <c r="C273" s="41" t="s">
        <v>743</v>
      </c>
      <c r="D273" s="21"/>
      <c r="E273" s="28" t="s">
        <v>563</v>
      </c>
      <c r="F273" s="26">
        <v>14</v>
      </c>
      <c r="G273" s="26" t="s">
        <v>744</v>
      </c>
      <c r="H273" s="26" t="s">
        <v>160</v>
      </c>
      <c r="I273" s="26">
        <v>1250000</v>
      </c>
      <c r="J273" s="17">
        <v>1000000</v>
      </c>
      <c r="K273" s="17">
        <f t="shared" si="8"/>
        <v>14000000</v>
      </c>
      <c r="L273" s="69">
        <f t="shared" si="9"/>
        <v>1000000</v>
      </c>
    </row>
    <row r="274" spans="1:12" s="11" customFormat="1" ht="47.25">
      <c r="A274" s="20">
        <v>270</v>
      </c>
      <c r="B274" s="32" t="s">
        <v>745</v>
      </c>
      <c r="C274" s="41" t="s">
        <v>746</v>
      </c>
      <c r="D274" s="21"/>
      <c r="E274" s="28" t="s">
        <v>563</v>
      </c>
      <c r="F274" s="26">
        <v>6</v>
      </c>
      <c r="G274" s="26" t="s">
        <v>744</v>
      </c>
      <c r="H274" s="26" t="s">
        <v>160</v>
      </c>
      <c r="I274" s="26">
        <v>1250000</v>
      </c>
      <c r="J274" s="17">
        <v>1000000</v>
      </c>
      <c r="K274" s="17">
        <f t="shared" si="8"/>
        <v>6000000</v>
      </c>
      <c r="L274" s="69">
        <f t="shared" si="9"/>
        <v>1000000</v>
      </c>
    </row>
    <row r="275" spans="1:12" s="11" customFormat="1" ht="47.25">
      <c r="A275" s="20">
        <v>271</v>
      </c>
      <c r="B275" s="32" t="s">
        <v>747</v>
      </c>
      <c r="C275" s="41" t="s">
        <v>748</v>
      </c>
      <c r="D275" s="21"/>
      <c r="E275" s="28" t="s">
        <v>563</v>
      </c>
      <c r="F275" s="26">
        <v>23</v>
      </c>
      <c r="G275" s="26" t="s">
        <v>744</v>
      </c>
      <c r="H275" s="26" t="s">
        <v>160</v>
      </c>
      <c r="I275" s="26">
        <v>1120000</v>
      </c>
      <c r="J275" s="17">
        <v>896000</v>
      </c>
      <c r="K275" s="17">
        <f t="shared" si="8"/>
        <v>20608000</v>
      </c>
      <c r="L275" s="69">
        <f t="shared" si="9"/>
        <v>896000</v>
      </c>
    </row>
    <row r="276" spans="1:12" s="11" customFormat="1" ht="30" customHeight="1">
      <c r="A276" s="20">
        <v>272</v>
      </c>
      <c r="B276" s="32" t="s">
        <v>749</v>
      </c>
      <c r="C276" s="41" t="s">
        <v>750</v>
      </c>
      <c r="D276" s="21"/>
      <c r="E276" s="28" t="s">
        <v>563</v>
      </c>
      <c r="F276" s="26">
        <v>22</v>
      </c>
      <c r="G276" s="26" t="s">
        <v>744</v>
      </c>
      <c r="H276" s="26" t="s">
        <v>160</v>
      </c>
      <c r="I276" s="26">
        <v>1250000</v>
      </c>
      <c r="J276" s="17">
        <v>1000000</v>
      </c>
      <c r="K276" s="17">
        <f t="shared" si="8"/>
        <v>22000000</v>
      </c>
      <c r="L276" s="69">
        <f t="shared" si="9"/>
        <v>1000000</v>
      </c>
    </row>
    <row r="277" spans="1:12" s="11" customFormat="1" ht="30" customHeight="1">
      <c r="A277" s="20">
        <v>273</v>
      </c>
      <c r="B277" s="32" t="s">
        <v>751</v>
      </c>
      <c r="C277" s="41" t="s">
        <v>752</v>
      </c>
      <c r="D277" s="21"/>
      <c r="E277" s="28" t="s">
        <v>563</v>
      </c>
      <c r="F277" s="26">
        <v>9</v>
      </c>
      <c r="G277" s="26" t="s">
        <v>753</v>
      </c>
      <c r="H277" s="26" t="s">
        <v>73</v>
      </c>
      <c r="I277" s="26">
        <v>750000</v>
      </c>
      <c r="J277" s="17">
        <v>600000</v>
      </c>
      <c r="K277" s="17">
        <f t="shared" si="8"/>
        <v>5400000</v>
      </c>
      <c r="L277" s="69">
        <f t="shared" si="9"/>
        <v>600000</v>
      </c>
    </row>
    <row r="278" spans="1:12" s="11" customFormat="1" ht="30" customHeight="1">
      <c r="A278" s="20">
        <v>274</v>
      </c>
      <c r="B278" s="32" t="s">
        <v>754</v>
      </c>
      <c r="C278" s="41" t="s">
        <v>755</v>
      </c>
      <c r="D278" s="21"/>
      <c r="E278" s="28" t="s">
        <v>563</v>
      </c>
      <c r="F278" s="26">
        <v>9</v>
      </c>
      <c r="G278" s="26" t="s">
        <v>756</v>
      </c>
      <c r="H278" s="26" t="s">
        <v>81</v>
      </c>
      <c r="I278" s="26">
        <v>350000</v>
      </c>
      <c r="J278" s="17">
        <v>280000</v>
      </c>
      <c r="K278" s="17">
        <f t="shared" si="8"/>
        <v>2520000</v>
      </c>
      <c r="L278" s="69">
        <f t="shared" si="9"/>
        <v>280000</v>
      </c>
    </row>
    <row r="279" spans="1:12" s="11" customFormat="1" ht="30" customHeight="1">
      <c r="A279" s="20">
        <v>275</v>
      </c>
      <c r="B279" s="32" t="s">
        <v>757</v>
      </c>
      <c r="C279" s="41" t="s">
        <v>748</v>
      </c>
      <c r="D279" s="21"/>
      <c r="E279" s="28" t="s">
        <v>563</v>
      </c>
      <c r="F279" s="26">
        <v>11</v>
      </c>
      <c r="G279" s="26" t="s">
        <v>744</v>
      </c>
      <c r="H279" s="26" t="s">
        <v>160</v>
      </c>
      <c r="I279" s="26">
        <v>1120000</v>
      </c>
      <c r="J279" s="17">
        <v>896000</v>
      </c>
      <c r="K279" s="17">
        <f t="shared" si="8"/>
        <v>9856000</v>
      </c>
      <c r="L279" s="69">
        <f t="shared" si="9"/>
        <v>896000</v>
      </c>
    </row>
    <row r="280" spans="1:12" s="11" customFormat="1" ht="30" customHeight="1">
      <c r="A280" s="20">
        <v>276</v>
      </c>
      <c r="B280" s="32" t="s">
        <v>758</v>
      </c>
      <c r="C280" s="41" t="s">
        <v>750</v>
      </c>
      <c r="D280" s="21"/>
      <c r="E280" s="28" t="s">
        <v>563</v>
      </c>
      <c r="F280" s="26">
        <v>10</v>
      </c>
      <c r="G280" s="26" t="s">
        <v>744</v>
      </c>
      <c r="H280" s="26" t="s">
        <v>160</v>
      </c>
      <c r="I280" s="26">
        <v>1120000</v>
      </c>
      <c r="J280" s="17">
        <v>896000</v>
      </c>
      <c r="K280" s="17">
        <f t="shared" si="8"/>
        <v>8960000</v>
      </c>
      <c r="L280" s="69">
        <f t="shared" si="9"/>
        <v>896000</v>
      </c>
    </row>
    <row r="281" spans="1:12" s="11" customFormat="1" ht="30" customHeight="1">
      <c r="A281" s="20">
        <v>277</v>
      </c>
      <c r="B281" s="32" t="s">
        <v>759</v>
      </c>
      <c r="C281" s="41" t="s">
        <v>760</v>
      </c>
      <c r="D281" s="21"/>
      <c r="E281" s="28" t="s">
        <v>563</v>
      </c>
      <c r="F281" s="26">
        <v>8</v>
      </c>
      <c r="G281" s="26" t="s">
        <v>744</v>
      </c>
      <c r="H281" s="26" t="s">
        <v>160</v>
      </c>
      <c r="I281" s="26">
        <v>1120000</v>
      </c>
      <c r="J281" s="17">
        <v>896000</v>
      </c>
      <c r="K281" s="17">
        <f t="shared" si="8"/>
        <v>7168000</v>
      </c>
      <c r="L281" s="69">
        <f t="shared" si="9"/>
        <v>896000</v>
      </c>
    </row>
    <row r="282" spans="1:12" s="11" customFormat="1" ht="30" customHeight="1">
      <c r="A282" s="20">
        <v>278</v>
      </c>
      <c r="B282" s="32" t="s">
        <v>761</v>
      </c>
      <c r="C282" s="41" t="s">
        <v>755</v>
      </c>
      <c r="D282" s="21"/>
      <c r="E282" s="28" t="s">
        <v>563</v>
      </c>
      <c r="F282" s="26">
        <v>9</v>
      </c>
      <c r="G282" s="26" t="s">
        <v>744</v>
      </c>
      <c r="H282" s="26" t="s">
        <v>160</v>
      </c>
      <c r="I282" s="26">
        <v>1120000</v>
      </c>
      <c r="J282" s="17">
        <v>896000</v>
      </c>
      <c r="K282" s="17">
        <f t="shared" si="8"/>
        <v>8064000</v>
      </c>
      <c r="L282" s="69">
        <f t="shared" si="9"/>
        <v>896000</v>
      </c>
    </row>
    <row r="283" spans="1:12" s="11" customFormat="1" ht="19.899999999999999" customHeight="1">
      <c r="A283" s="20">
        <v>279</v>
      </c>
      <c r="B283" s="77" t="s">
        <v>762</v>
      </c>
      <c r="C283" s="41" t="s">
        <v>763</v>
      </c>
      <c r="D283" s="21"/>
      <c r="E283" s="28" t="s">
        <v>563</v>
      </c>
      <c r="F283" s="26">
        <v>9</v>
      </c>
      <c r="G283" s="26" t="s">
        <v>744</v>
      </c>
      <c r="H283" s="26" t="s">
        <v>160</v>
      </c>
      <c r="I283" s="26">
        <v>1120000</v>
      </c>
      <c r="J283" s="17">
        <v>896000</v>
      </c>
      <c r="K283" s="17">
        <f t="shared" si="8"/>
        <v>8064000</v>
      </c>
      <c r="L283" s="69">
        <f t="shared" si="9"/>
        <v>896000</v>
      </c>
    </row>
    <row r="284" spans="1:12" s="11" customFormat="1" ht="19.899999999999999" customHeight="1">
      <c r="A284" s="20">
        <v>280</v>
      </c>
      <c r="B284" s="77"/>
      <c r="C284" s="41" t="s">
        <v>764</v>
      </c>
      <c r="D284" s="21"/>
      <c r="E284" s="28" t="s">
        <v>563</v>
      </c>
      <c r="F284" s="26">
        <v>4</v>
      </c>
      <c r="G284" s="26" t="s">
        <v>744</v>
      </c>
      <c r="H284" s="26"/>
      <c r="I284" s="26">
        <v>1120000</v>
      </c>
      <c r="J284" s="17">
        <v>896000</v>
      </c>
      <c r="K284" s="17">
        <f t="shared" si="8"/>
        <v>3584000</v>
      </c>
      <c r="L284" s="69">
        <f t="shared" si="9"/>
        <v>896000</v>
      </c>
    </row>
    <row r="285" spans="1:12" s="11" customFormat="1">
      <c r="A285" s="20">
        <v>281</v>
      </c>
      <c r="B285" s="25" t="s">
        <v>1426</v>
      </c>
      <c r="C285" s="25" t="s">
        <v>766</v>
      </c>
      <c r="D285" s="25"/>
      <c r="E285" s="28" t="s">
        <v>435</v>
      </c>
      <c r="F285" s="16">
        <v>10</v>
      </c>
      <c r="G285" s="26" t="s">
        <v>765</v>
      </c>
      <c r="H285" s="26" t="s">
        <v>81</v>
      </c>
      <c r="I285" s="16">
        <v>411000</v>
      </c>
      <c r="J285" s="17">
        <v>315000</v>
      </c>
      <c r="K285" s="17">
        <f t="shared" si="8"/>
        <v>3150000</v>
      </c>
      <c r="L285" s="69">
        <f t="shared" si="9"/>
        <v>328800</v>
      </c>
    </row>
    <row r="286" spans="1:12" s="11" customFormat="1" ht="26.25" customHeight="1">
      <c r="A286" s="20">
        <v>282</v>
      </c>
      <c r="B286" s="77" t="s">
        <v>767</v>
      </c>
      <c r="C286" s="21" t="s">
        <v>768</v>
      </c>
      <c r="D286" s="40" t="s">
        <v>769</v>
      </c>
      <c r="E286" s="28" t="s">
        <v>68</v>
      </c>
      <c r="F286" s="26">
        <v>20</v>
      </c>
      <c r="G286" s="26" t="s">
        <v>770</v>
      </c>
      <c r="H286" s="26" t="s">
        <v>160</v>
      </c>
      <c r="I286" s="26">
        <v>390000</v>
      </c>
      <c r="J286" s="17">
        <v>312000</v>
      </c>
      <c r="K286" s="17">
        <f t="shared" si="8"/>
        <v>6240000</v>
      </c>
      <c r="L286" s="69">
        <f t="shared" si="9"/>
        <v>312000</v>
      </c>
    </row>
    <row r="287" spans="1:12" s="11" customFormat="1" ht="26.25" customHeight="1">
      <c r="A287" s="20">
        <v>283</v>
      </c>
      <c r="B287" s="77"/>
      <c r="C287" s="21" t="s">
        <v>771</v>
      </c>
      <c r="D287" s="40" t="s">
        <v>772</v>
      </c>
      <c r="E287" s="28" t="s">
        <v>68</v>
      </c>
      <c r="F287" s="26">
        <v>20</v>
      </c>
      <c r="G287" s="26" t="s">
        <v>770</v>
      </c>
      <c r="H287" s="26" t="s">
        <v>160</v>
      </c>
      <c r="I287" s="26">
        <v>395000</v>
      </c>
      <c r="J287" s="17">
        <v>316000</v>
      </c>
      <c r="K287" s="17">
        <f t="shared" si="8"/>
        <v>6320000</v>
      </c>
      <c r="L287" s="69">
        <f t="shared" si="9"/>
        <v>316000</v>
      </c>
    </row>
    <row r="288" spans="1:12" s="11" customFormat="1" ht="26.25" customHeight="1">
      <c r="A288" s="20">
        <v>284</v>
      </c>
      <c r="B288" s="77"/>
      <c r="C288" s="21" t="s">
        <v>773</v>
      </c>
      <c r="D288" s="40" t="s">
        <v>774</v>
      </c>
      <c r="E288" s="28" t="s">
        <v>68</v>
      </c>
      <c r="F288" s="26">
        <v>20</v>
      </c>
      <c r="G288" s="26" t="s">
        <v>770</v>
      </c>
      <c r="H288" s="26" t="s">
        <v>160</v>
      </c>
      <c r="I288" s="26">
        <v>410000</v>
      </c>
      <c r="J288" s="17">
        <v>328000</v>
      </c>
      <c r="K288" s="17">
        <f t="shared" si="8"/>
        <v>6560000</v>
      </c>
      <c r="L288" s="69">
        <f t="shared" si="9"/>
        <v>328000</v>
      </c>
    </row>
    <row r="289" spans="1:12" s="11" customFormat="1" ht="19.899999999999999" customHeight="1">
      <c r="A289" s="20">
        <v>285</v>
      </c>
      <c r="B289" s="77"/>
      <c r="C289" s="21" t="s">
        <v>775</v>
      </c>
      <c r="D289" s="40" t="s">
        <v>776</v>
      </c>
      <c r="E289" s="28" t="s">
        <v>68</v>
      </c>
      <c r="F289" s="26">
        <v>50</v>
      </c>
      <c r="G289" s="26" t="s">
        <v>770</v>
      </c>
      <c r="H289" s="26" t="s">
        <v>160</v>
      </c>
      <c r="I289" s="26">
        <v>430000</v>
      </c>
      <c r="J289" s="17">
        <v>344000</v>
      </c>
      <c r="K289" s="17">
        <f t="shared" si="8"/>
        <v>17200000</v>
      </c>
      <c r="L289" s="69">
        <f t="shared" si="9"/>
        <v>344000</v>
      </c>
    </row>
    <row r="290" spans="1:12" s="11" customFormat="1" ht="19.899999999999999" customHeight="1">
      <c r="A290" s="20">
        <v>286</v>
      </c>
      <c r="B290" s="77"/>
      <c r="C290" s="21" t="s">
        <v>777</v>
      </c>
      <c r="D290" s="40" t="s">
        <v>778</v>
      </c>
      <c r="E290" s="28" t="s">
        <v>68</v>
      </c>
      <c r="F290" s="26">
        <v>30</v>
      </c>
      <c r="G290" s="26" t="s">
        <v>770</v>
      </c>
      <c r="H290" s="26" t="s">
        <v>160</v>
      </c>
      <c r="I290" s="26">
        <v>440000</v>
      </c>
      <c r="J290" s="17">
        <v>352000</v>
      </c>
      <c r="K290" s="17">
        <f t="shared" si="8"/>
        <v>10560000</v>
      </c>
      <c r="L290" s="69">
        <f t="shared" si="9"/>
        <v>352000</v>
      </c>
    </row>
    <row r="291" spans="1:12" s="11" customFormat="1" ht="19.899999999999999" customHeight="1">
      <c r="A291" s="20">
        <v>287</v>
      </c>
      <c r="B291" s="77"/>
      <c r="C291" s="21" t="s">
        <v>779</v>
      </c>
      <c r="D291" s="40" t="s">
        <v>780</v>
      </c>
      <c r="E291" s="28" t="s">
        <v>68</v>
      </c>
      <c r="F291" s="26">
        <v>43</v>
      </c>
      <c r="G291" s="26" t="s">
        <v>770</v>
      </c>
      <c r="H291" s="26" t="s">
        <v>160</v>
      </c>
      <c r="I291" s="26">
        <v>445000</v>
      </c>
      <c r="J291" s="17">
        <v>356000</v>
      </c>
      <c r="K291" s="17">
        <f t="shared" si="8"/>
        <v>15308000</v>
      </c>
      <c r="L291" s="69">
        <f t="shared" si="9"/>
        <v>356000</v>
      </c>
    </row>
    <row r="292" spans="1:12" s="11" customFormat="1" ht="19.899999999999999" customHeight="1">
      <c r="A292" s="20">
        <v>288</v>
      </c>
      <c r="B292" s="77"/>
      <c r="C292" s="21" t="s">
        <v>781</v>
      </c>
      <c r="D292" s="40" t="s">
        <v>782</v>
      </c>
      <c r="E292" s="28" t="s">
        <v>68</v>
      </c>
      <c r="F292" s="26">
        <v>15</v>
      </c>
      <c r="G292" s="26" t="s">
        <v>770</v>
      </c>
      <c r="H292" s="26" t="s">
        <v>160</v>
      </c>
      <c r="I292" s="26">
        <v>655000</v>
      </c>
      <c r="J292" s="17">
        <v>524000</v>
      </c>
      <c r="K292" s="17">
        <f t="shared" si="8"/>
        <v>7860000</v>
      </c>
      <c r="L292" s="69">
        <f t="shared" si="9"/>
        <v>524000</v>
      </c>
    </row>
    <row r="293" spans="1:12" s="11" customFormat="1" ht="19.899999999999999" customHeight="1">
      <c r="A293" s="20">
        <v>289</v>
      </c>
      <c r="B293" s="77"/>
      <c r="C293" s="21" t="s">
        <v>783</v>
      </c>
      <c r="D293" s="40" t="s">
        <v>782</v>
      </c>
      <c r="E293" s="28" t="s">
        <v>68</v>
      </c>
      <c r="F293" s="26">
        <v>78</v>
      </c>
      <c r="G293" s="26" t="s">
        <v>770</v>
      </c>
      <c r="H293" s="26" t="s">
        <v>160</v>
      </c>
      <c r="I293" s="26">
        <v>680000</v>
      </c>
      <c r="J293" s="17">
        <v>544000</v>
      </c>
      <c r="K293" s="17">
        <f t="shared" si="8"/>
        <v>42432000</v>
      </c>
      <c r="L293" s="69">
        <f t="shared" si="9"/>
        <v>544000</v>
      </c>
    </row>
    <row r="294" spans="1:12" s="11" customFormat="1" ht="19.899999999999999" customHeight="1">
      <c r="A294" s="20">
        <v>290</v>
      </c>
      <c r="B294" s="77"/>
      <c r="C294" s="21" t="s">
        <v>784</v>
      </c>
      <c r="D294" s="40" t="s">
        <v>785</v>
      </c>
      <c r="E294" s="28" t="s">
        <v>68</v>
      </c>
      <c r="F294" s="26">
        <v>6</v>
      </c>
      <c r="G294" s="26" t="s">
        <v>770</v>
      </c>
      <c r="H294" s="26" t="s">
        <v>160</v>
      </c>
      <c r="I294" s="26">
        <v>1211000</v>
      </c>
      <c r="J294" s="17">
        <v>968800</v>
      </c>
      <c r="K294" s="17">
        <f t="shared" si="8"/>
        <v>5812800</v>
      </c>
      <c r="L294" s="69">
        <f t="shared" si="9"/>
        <v>968800</v>
      </c>
    </row>
    <row r="295" spans="1:12" s="11" customFormat="1" ht="19.899999999999999" customHeight="1">
      <c r="A295" s="20">
        <v>291</v>
      </c>
      <c r="B295" s="77"/>
      <c r="C295" s="21" t="s">
        <v>786</v>
      </c>
      <c r="D295" s="40" t="s">
        <v>785</v>
      </c>
      <c r="E295" s="28" t="s">
        <v>68</v>
      </c>
      <c r="F295" s="26">
        <v>72</v>
      </c>
      <c r="G295" s="26" t="s">
        <v>770</v>
      </c>
      <c r="H295" s="26" t="s">
        <v>160</v>
      </c>
      <c r="I295" s="26">
        <v>1250000</v>
      </c>
      <c r="J295" s="17">
        <v>1000000</v>
      </c>
      <c r="K295" s="17">
        <f t="shared" si="8"/>
        <v>72000000</v>
      </c>
      <c r="L295" s="69">
        <f t="shared" si="9"/>
        <v>1000000</v>
      </c>
    </row>
    <row r="296" spans="1:12" s="11" customFormat="1" ht="19.899999999999999" customHeight="1">
      <c r="A296" s="20">
        <v>292</v>
      </c>
      <c r="B296" s="77"/>
      <c r="C296" s="21" t="s">
        <v>787</v>
      </c>
      <c r="D296" s="40" t="s">
        <v>788</v>
      </c>
      <c r="E296" s="28" t="s">
        <v>68</v>
      </c>
      <c r="F296" s="26">
        <v>70</v>
      </c>
      <c r="G296" s="26" t="s">
        <v>770</v>
      </c>
      <c r="H296" s="26" t="s">
        <v>160</v>
      </c>
      <c r="I296" s="26">
        <v>1405000</v>
      </c>
      <c r="J296" s="17">
        <v>1124000</v>
      </c>
      <c r="K296" s="17">
        <f t="shared" si="8"/>
        <v>78680000</v>
      </c>
      <c r="L296" s="69">
        <f t="shared" si="9"/>
        <v>1124000</v>
      </c>
    </row>
    <row r="297" spans="1:12" s="11" customFormat="1" ht="19.899999999999999" customHeight="1">
      <c r="A297" s="20">
        <v>293</v>
      </c>
      <c r="B297" s="77"/>
      <c r="C297" s="21" t="s">
        <v>789</v>
      </c>
      <c r="D297" s="40" t="s">
        <v>790</v>
      </c>
      <c r="E297" s="28" t="s">
        <v>68</v>
      </c>
      <c r="F297" s="26">
        <v>30</v>
      </c>
      <c r="G297" s="26" t="s">
        <v>770</v>
      </c>
      <c r="H297" s="26" t="s">
        <v>160</v>
      </c>
      <c r="I297" s="26">
        <v>1450000</v>
      </c>
      <c r="J297" s="17">
        <v>1160000</v>
      </c>
      <c r="K297" s="17">
        <f t="shared" si="8"/>
        <v>34800000</v>
      </c>
      <c r="L297" s="69">
        <f t="shared" si="9"/>
        <v>1160000</v>
      </c>
    </row>
    <row r="298" spans="1:12" s="11" customFormat="1" ht="19.899999999999999" customHeight="1">
      <c r="A298" s="20">
        <v>294</v>
      </c>
      <c r="B298" s="77"/>
      <c r="C298" s="21" t="s">
        <v>791</v>
      </c>
      <c r="D298" s="40" t="s">
        <v>792</v>
      </c>
      <c r="E298" s="28" t="s">
        <v>68</v>
      </c>
      <c r="F298" s="26">
        <v>30</v>
      </c>
      <c r="G298" s="26" t="s">
        <v>770</v>
      </c>
      <c r="H298" s="26" t="s">
        <v>160</v>
      </c>
      <c r="I298" s="26">
        <v>2750000</v>
      </c>
      <c r="J298" s="17">
        <v>2200000</v>
      </c>
      <c r="K298" s="17">
        <f t="shared" si="8"/>
        <v>66000000</v>
      </c>
      <c r="L298" s="69">
        <f t="shared" si="9"/>
        <v>2200000</v>
      </c>
    </row>
    <row r="299" spans="1:12" s="11" customFormat="1" ht="19.899999999999999" customHeight="1">
      <c r="A299" s="20">
        <v>295</v>
      </c>
      <c r="B299" s="77"/>
      <c r="C299" s="21" t="s">
        <v>793</v>
      </c>
      <c r="D299" s="40" t="s">
        <v>794</v>
      </c>
      <c r="E299" s="28" t="s">
        <v>68</v>
      </c>
      <c r="F299" s="26">
        <v>30</v>
      </c>
      <c r="G299" s="26" t="s">
        <v>770</v>
      </c>
      <c r="H299" s="26" t="s">
        <v>160</v>
      </c>
      <c r="I299" s="26">
        <v>3500000</v>
      </c>
      <c r="J299" s="17">
        <v>2800000</v>
      </c>
      <c r="K299" s="17">
        <f t="shared" si="8"/>
        <v>84000000</v>
      </c>
      <c r="L299" s="69">
        <f t="shared" si="9"/>
        <v>2800000</v>
      </c>
    </row>
    <row r="300" spans="1:12" s="11" customFormat="1" ht="19.899999999999999" customHeight="1">
      <c r="A300" s="20">
        <v>296</v>
      </c>
      <c r="B300" s="77"/>
      <c r="C300" s="21" t="s">
        <v>795</v>
      </c>
      <c r="D300" s="40" t="s">
        <v>796</v>
      </c>
      <c r="E300" s="28" t="s">
        <v>68</v>
      </c>
      <c r="F300" s="26">
        <v>30</v>
      </c>
      <c r="G300" s="26" t="s">
        <v>770</v>
      </c>
      <c r="H300" s="26" t="s">
        <v>160</v>
      </c>
      <c r="I300" s="26">
        <v>3600000</v>
      </c>
      <c r="J300" s="17">
        <v>2880000</v>
      </c>
      <c r="K300" s="17">
        <f t="shared" si="8"/>
        <v>86400000</v>
      </c>
      <c r="L300" s="69">
        <f t="shared" si="9"/>
        <v>2880000</v>
      </c>
    </row>
    <row r="301" spans="1:12" s="11" customFormat="1" ht="19.899999999999999" customHeight="1">
      <c r="A301" s="20">
        <v>297</v>
      </c>
      <c r="B301" s="78" t="s">
        <v>797</v>
      </c>
      <c r="C301" s="21" t="s">
        <v>773</v>
      </c>
      <c r="D301" s="21"/>
      <c r="E301" s="28" t="s">
        <v>68</v>
      </c>
      <c r="F301" s="26">
        <v>20</v>
      </c>
      <c r="G301" s="26" t="s">
        <v>798</v>
      </c>
      <c r="H301" s="26" t="s">
        <v>81</v>
      </c>
      <c r="I301" s="26">
        <v>135000</v>
      </c>
      <c r="J301" s="17">
        <v>108000</v>
      </c>
      <c r="K301" s="17">
        <f t="shared" si="8"/>
        <v>2160000</v>
      </c>
      <c r="L301" s="69">
        <f t="shared" si="9"/>
        <v>108000</v>
      </c>
    </row>
    <row r="302" spans="1:12" s="11" customFormat="1" ht="19.899999999999999" customHeight="1">
      <c r="A302" s="20">
        <v>298</v>
      </c>
      <c r="B302" s="78"/>
      <c r="C302" s="21" t="s">
        <v>775</v>
      </c>
      <c r="D302" s="21"/>
      <c r="E302" s="28" t="s">
        <v>68</v>
      </c>
      <c r="F302" s="26">
        <v>20</v>
      </c>
      <c r="G302" s="26" t="s">
        <v>798</v>
      </c>
      <c r="H302" s="26" t="s">
        <v>81</v>
      </c>
      <c r="I302" s="26">
        <v>135000</v>
      </c>
      <c r="J302" s="17">
        <v>108000</v>
      </c>
      <c r="K302" s="17">
        <f t="shared" si="8"/>
        <v>2160000</v>
      </c>
      <c r="L302" s="69">
        <f t="shared" si="9"/>
        <v>108000</v>
      </c>
    </row>
    <row r="303" spans="1:12" s="11" customFormat="1" ht="19.899999999999999" customHeight="1">
      <c r="A303" s="20">
        <v>299</v>
      </c>
      <c r="B303" s="78"/>
      <c r="C303" s="21" t="s">
        <v>799</v>
      </c>
      <c r="D303" s="21"/>
      <c r="E303" s="28" t="s">
        <v>68</v>
      </c>
      <c r="F303" s="26">
        <v>20</v>
      </c>
      <c r="G303" s="26" t="s">
        <v>798</v>
      </c>
      <c r="H303" s="26" t="s">
        <v>81</v>
      </c>
      <c r="I303" s="26">
        <v>180000</v>
      </c>
      <c r="J303" s="17">
        <v>144000</v>
      </c>
      <c r="K303" s="17">
        <f t="shared" si="8"/>
        <v>2880000</v>
      </c>
      <c r="L303" s="69">
        <f t="shared" si="9"/>
        <v>144000</v>
      </c>
    </row>
    <row r="304" spans="1:12" s="11" customFormat="1" ht="19.899999999999999" customHeight="1">
      <c r="A304" s="20">
        <v>300</v>
      </c>
      <c r="B304" s="78"/>
      <c r="C304" s="21" t="s">
        <v>800</v>
      </c>
      <c r="D304" s="21"/>
      <c r="E304" s="28" t="s">
        <v>68</v>
      </c>
      <c r="F304" s="26">
        <v>20</v>
      </c>
      <c r="G304" s="26" t="s">
        <v>798</v>
      </c>
      <c r="H304" s="26" t="s">
        <v>81</v>
      </c>
      <c r="I304" s="26">
        <v>265000</v>
      </c>
      <c r="J304" s="17">
        <v>212000</v>
      </c>
      <c r="K304" s="17">
        <f t="shared" si="8"/>
        <v>4240000</v>
      </c>
      <c r="L304" s="69">
        <f t="shared" si="9"/>
        <v>212000</v>
      </c>
    </row>
    <row r="305" spans="1:12" s="11" customFormat="1" ht="90.95" customHeight="1">
      <c r="A305" s="20">
        <v>301</v>
      </c>
      <c r="B305" s="78" t="s">
        <v>801</v>
      </c>
      <c r="C305" s="21" t="s">
        <v>802</v>
      </c>
      <c r="D305" s="21" t="s">
        <v>803</v>
      </c>
      <c r="E305" s="28" t="s">
        <v>68</v>
      </c>
      <c r="F305" s="26">
        <v>20</v>
      </c>
      <c r="G305" s="26" t="s">
        <v>804</v>
      </c>
      <c r="H305" s="26" t="s">
        <v>81</v>
      </c>
      <c r="I305" s="26">
        <v>20000</v>
      </c>
      <c r="J305" s="17">
        <v>16000</v>
      </c>
      <c r="K305" s="17">
        <f t="shared" si="8"/>
        <v>320000</v>
      </c>
      <c r="L305" s="69">
        <f t="shared" si="9"/>
        <v>16000</v>
      </c>
    </row>
    <row r="306" spans="1:12" s="11" customFormat="1" ht="81.95" customHeight="1">
      <c r="A306" s="20">
        <v>302</v>
      </c>
      <c r="B306" s="78"/>
      <c r="C306" s="21" t="s">
        <v>805</v>
      </c>
      <c r="D306" s="21" t="s">
        <v>803</v>
      </c>
      <c r="E306" s="28" t="s">
        <v>68</v>
      </c>
      <c r="F306" s="26">
        <v>20</v>
      </c>
      <c r="G306" s="26" t="s">
        <v>804</v>
      </c>
      <c r="H306" s="26" t="s">
        <v>81</v>
      </c>
      <c r="I306" s="26">
        <v>45000</v>
      </c>
      <c r="J306" s="17">
        <v>36000</v>
      </c>
      <c r="K306" s="17">
        <f t="shared" si="8"/>
        <v>720000</v>
      </c>
      <c r="L306" s="69">
        <f t="shared" si="9"/>
        <v>36000</v>
      </c>
    </row>
    <row r="307" spans="1:12" s="11" customFormat="1" ht="19.899999999999999" customHeight="1">
      <c r="A307" s="20">
        <v>303</v>
      </c>
      <c r="B307" s="78"/>
      <c r="C307" s="21" t="s">
        <v>768</v>
      </c>
      <c r="D307" s="21"/>
      <c r="E307" s="28" t="s">
        <v>68</v>
      </c>
      <c r="F307" s="26">
        <v>20</v>
      </c>
      <c r="G307" s="26" t="s">
        <v>804</v>
      </c>
      <c r="H307" s="26" t="s">
        <v>81</v>
      </c>
      <c r="I307" s="26">
        <v>75000</v>
      </c>
      <c r="J307" s="17">
        <v>60000</v>
      </c>
      <c r="K307" s="17">
        <f t="shared" si="8"/>
        <v>1200000</v>
      </c>
      <c r="L307" s="69">
        <f t="shared" si="9"/>
        <v>60000</v>
      </c>
    </row>
    <row r="308" spans="1:12" s="11" customFormat="1" ht="19.899999999999999" customHeight="1">
      <c r="A308" s="20">
        <v>304</v>
      </c>
      <c r="B308" s="78"/>
      <c r="C308" s="21" t="s">
        <v>773</v>
      </c>
      <c r="D308" s="21"/>
      <c r="E308" s="28" t="s">
        <v>68</v>
      </c>
      <c r="F308" s="26">
        <v>20</v>
      </c>
      <c r="G308" s="26" t="s">
        <v>804</v>
      </c>
      <c r="H308" s="26" t="s">
        <v>81</v>
      </c>
      <c r="I308" s="26">
        <v>105000</v>
      </c>
      <c r="J308" s="17">
        <v>84000</v>
      </c>
      <c r="K308" s="17">
        <f t="shared" si="8"/>
        <v>1680000</v>
      </c>
      <c r="L308" s="69">
        <f t="shared" si="9"/>
        <v>84000</v>
      </c>
    </row>
    <row r="309" spans="1:12" s="11" customFormat="1" ht="19.899999999999999" customHeight="1">
      <c r="A309" s="20">
        <v>305</v>
      </c>
      <c r="B309" s="78"/>
      <c r="C309" s="21" t="s">
        <v>775</v>
      </c>
      <c r="D309" s="21"/>
      <c r="E309" s="28" t="s">
        <v>68</v>
      </c>
      <c r="F309" s="26">
        <v>20</v>
      </c>
      <c r="G309" s="26" t="s">
        <v>804</v>
      </c>
      <c r="H309" s="26" t="s">
        <v>81</v>
      </c>
      <c r="I309" s="26">
        <v>125000</v>
      </c>
      <c r="J309" s="17">
        <v>100000</v>
      </c>
      <c r="K309" s="17">
        <f t="shared" si="8"/>
        <v>2000000</v>
      </c>
      <c r="L309" s="69">
        <f t="shared" si="9"/>
        <v>100000</v>
      </c>
    </row>
    <row r="310" spans="1:12" s="11" customFormat="1" ht="19.899999999999999" customHeight="1">
      <c r="A310" s="20">
        <v>306</v>
      </c>
      <c r="B310" s="78"/>
      <c r="C310" s="21" t="s">
        <v>799</v>
      </c>
      <c r="D310" s="21"/>
      <c r="E310" s="28" t="s">
        <v>68</v>
      </c>
      <c r="F310" s="26">
        <v>20</v>
      </c>
      <c r="G310" s="26" t="s">
        <v>804</v>
      </c>
      <c r="H310" s="26" t="s">
        <v>81</v>
      </c>
      <c r="I310" s="26">
        <v>265000</v>
      </c>
      <c r="J310" s="17">
        <v>212000</v>
      </c>
      <c r="K310" s="17">
        <f t="shared" si="8"/>
        <v>4240000</v>
      </c>
      <c r="L310" s="69">
        <f t="shared" si="9"/>
        <v>212000</v>
      </c>
    </row>
    <row r="311" spans="1:12" s="11" customFormat="1" ht="19.899999999999999" customHeight="1">
      <c r="A311" s="20">
        <v>307</v>
      </c>
      <c r="B311" s="78"/>
      <c r="C311" s="21" t="s">
        <v>806</v>
      </c>
      <c r="D311" s="21"/>
      <c r="E311" s="28" t="s">
        <v>68</v>
      </c>
      <c r="F311" s="26">
        <v>20</v>
      </c>
      <c r="G311" s="26" t="s">
        <v>804</v>
      </c>
      <c r="H311" s="26" t="s">
        <v>81</v>
      </c>
      <c r="I311" s="26">
        <v>440000</v>
      </c>
      <c r="J311" s="17">
        <v>352000</v>
      </c>
      <c r="K311" s="17">
        <f t="shared" si="8"/>
        <v>7040000</v>
      </c>
      <c r="L311" s="69">
        <f t="shared" si="9"/>
        <v>352000</v>
      </c>
    </row>
    <row r="312" spans="1:12" s="11" customFormat="1" ht="19.899999999999999" customHeight="1">
      <c r="A312" s="20">
        <v>308</v>
      </c>
      <c r="B312" s="78"/>
      <c r="C312" s="21" t="s">
        <v>807</v>
      </c>
      <c r="D312" s="21"/>
      <c r="E312" s="28" t="s">
        <v>68</v>
      </c>
      <c r="F312" s="26">
        <v>20</v>
      </c>
      <c r="G312" s="26" t="s">
        <v>804</v>
      </c>
      <c r="H312" s="26" t="s">
        <v>81</v>
      </c>
      <c r="I312" s="26">
        <v>630000</v>
      </c>
      <c r="J312" s="17">
        <v>504000</v>
      </c>
      <c r="K312" s="17">
        <f t="shared" si="8"/>
        <v>10080000</v>
      </c>
      <c r="L312" s="69">
        <f t="shared" si="9"/>
        <v>504000</v>
      </c>
    </row>
    <row r="313" spans="1:12" s="11" customFormat="1" ht="31.5">
      <c r="A313" s="20">
        <v>309</v>
      </c>
      <c r="B313" s="21" t="s">
        <v>808</v>
      </c>
      <c r="C313" s="21" t="s">
        <v>809</v>
      </c>
      <c r="D313" s="21"/>
      <c r="E313" s="28" t="s">
        <v>167</v>
      </c>
      <c r="F313" s="26">
        <v>4</v>
      </c>
      <c r="G313" s="26" t="s">
        <v>810</v>
      </c>
      <c r="H313" s="26" t="s">
        <v>54</v>
      </c>
      <c r="I313" s="26">
        <v>3850000</v>
      </c>
      <c r="J313" s="17">
        <v>3080000</v>
      </c>
      <c r="K313" s="17">
        <f t="shared" si="8"/>
        <v>12320000</v>
      </c>
      <c r="L313" s="69">
        <f t="shared" si="9"/>
        <v>3080000</v>
      </c>
    </row>
    <row r="314" spans="1:12" s="11" customFormat="1" ht="31.5">
      <c r="A314" s="20">
        <v>310</v>
      </c>
      <c r="B314" s="32" t="s">
        <v>811</v>
      </c>
      <c r="C314" s="21" t="s">
        <v>812</v>
      </c>
      <c r="D314" s="21"/>
      <c r="E314" s="28" t="s">
        <v>68</v>
      </c>
      <c r="F314" s="26">
        <v>10</v>
      </c>
      <c r="G314" s="26" t="s">
        <v>813</v>
      </c>
      <c r="H314" s="26" t="s">
        <v>15</v>
      </c>
      <c r="I314" s="26">
        <v>270000</v>
      </c>
      <c r="J314" s="17">
        <v>216000</v>
      </c>
      <c r="K314" s="17">
        <f t="shared" si="8"/>
        <v>2160000</v>
      </c>
      <c r="L314" s="69">
        <f t="shared" si="9"/>
        <v>216000</v>
      </c>
    </row>
    <row r="315" spans="1:12" s="11" customFormat="1" ht="30" customHeight="1">
      <c r="A315" s="20">
        <v>311</v>
      </c>
      <c r="B315" s="32" t="s">
        <v>814</v>
      </c>
      <c r="C315" s="21" t="s">
        <v>815</v>
      </c>
      <c r="D315" s="21"/>
      <c r="E315" s="28" t="s">
        <v>68</v>
      </c>
      <c r="F315" s="26">
        <v>50</v>
      </c>
      <c r="G315" s="20" t="s">
        <v>813</v>
      </c>
      <c r="H315" s="20" t="s">
        <v>15</v>
      </c>
      <c r="I315" s="26">
        <v>390000</v>
      </c>
      <c r="J315" s="17">
        <v>52000</v>
      </c>
      <c r="K315" s="17">
        <f t="shared" si="8"/>
        <v>2600000</v>
      </c>
      <c r="L315" s="69">
        <f t="shared" si="9"/>
        <v>312000</v>
      </c>
    </row>
    <row r="316" spans="1:12" s="11" customFormat="1" ht="30" customHeight="1">
      <c r="A316" s="20">
        <v>312</v>
      </c>
      <c r="B316" s="21" t="s">
        <v>816</v>
      </c>
      <c r="C316" s="21" t="s">
        <v>815</v>
      </c>
      <c r="D316" s="21"/>
      <c r="E316" s="28" t="s">
        <v>68</v>
      </c>
      <c r="F316" s="26">
        <v>100</v>
      </c>
      <c r="G316" s="26" t="s">
        <v>817</v>
      </c>
      <c r="H316" s="26" t="s">
        <v>818</v>
      </c>
      <c r="I316" s="26">
        <v>45000</v>
      </c>
      <c r="J316" s="17">
        <v>36000</v>
      </c>
      <c r="K316" s="17">
        <f t="shared" si="8"/>
        <v>3600000</v>
      </c>
      <c r="L316" s="69">
        <f t="shared" si="9"/>
        <v>36000</v>
      </c>
    </row>
    <row r="317" spans="1:12" s="11" customFormat="1" ht="30.6" customHeight="1">
      <c r="A317" s="20">
        <v>313</v>
      </c>
      <c r="B317" s="32" t="s">
        <v>819</v>
      </c>
      <c r="C317" s="21" t="s">
        <v>820</v>
      </c>
      <c r="D317" s="21"/>
      <c r="E317" s="28" t="s">
        <v>68</v>
      </c>
      <c r="F317" s="26">
        <v>20</v>
      </c>
      <c r="G317" s="26" t="s">
        <v>817</v>
      </c>
      <c r="H317" s="26" t="s">
        <v>818</v>
      </c>
      <c r="I317" s="26">
        <v>45000</v>
      </c>
      <c r="J317" s="17">
        <v>36000</v>
      </c>
      <c r="K317" s="17">
        <f t="shared" si="8"/>
        <v>720000</v>
      </c>
      <c r="L317" s="69">
        <f t="shared" si="9"/>
        <v>36000</v>
      </c>
    </row>
    <row r="318" spans="1:12" s="11" customFormat="1" ht="30" customHeight="1">
      <c r="A318" s="20">
        <v>314</v>
      </c>
      <c r="B318" s="32" t="s">
        <v>821</v>
      </c>
      <c r="C318" s="41" t="s">
        <v>822</v>
      </c>
      <c r="D318" s="21"/>
      <c r="E318" s="28" t="s">
        <v>68</v>
      </c>
      <c r="F318" s="26">
        <v>10</v>
      </c>
      <c r="G318" s="26" t="s">
        <v>817</v>
      </c>
      <c r="H318" s="26" t="s">
        <v>818</v>
      </c>
      <c r="I318" s="26">
        <v>88000</v>
      </c>
      <c r="J318" s="17">
        <v>70400</v>
      </c>
      <c r="K318" s="17">
        <f t="shared" si="8"/>
        <v>704000</v>
      </c>
      <c r="L318" s="69">
        <f t="shared" si="9"/>
        <v>70400</v>
      </c>
    </row>
    <row r="319" spans="1:12" s="11" customFormat="1" ht="30" customHeight="1">
      <c r="A319" s="20">
        <v>315</v>
      </c>
      <c r="B319" s="32" t="s">
        <v>823</v>
      </c>
      <c r="C319" s="41" t="s">
        <v>824</v>
      </c>
      <c r="D319" s="21"/>
      <c r="E319" s="28" t="s">
        <v>68</v>
      </c>
      <c r="F319" s="26">
        <v>5</v>
      </c>
      <c r="G319" s="26" t="s">
        <v>817</v>
      </c>
      <c r="H319" s="26" t="s">
        <v>818</v>
      </c>
      <c r="I319" s="26">
        <v>55000</v>
      </c>
      <c r="J319" s="17">
        <v>44000</v>
      </c>
      <c r="K319" s="17">
        <f t="shared" si="8"/>
        <v>220000</v>
      </c>
      <c r="L319" s="69">
        <f t="shared" si="9"/>
        <v>44000</v>
      </c>
    </row>
    <row r="320" spans="1:12" s="11" customFormat="1" ht="30" customHeight="1">
      <c r="A320" s="20">
        <v>316</v>
      </c>
      <c r="B320" s="32" t="s">
        <v>825</v>
      </c>
      <c r="C320" s="41" t="s">
        <v>826</v>
      </c>
      <c r="D320" s="21"/>
      <c r="E320" s="28" t="s">
        <v>68</v>
      </c>
      <c r="F320" s="26">
        <v>5</v>
      </c>
      <c r="G320" s="26" t="s">
        <v>817</v>
      </c>
      <c r="H320" s="26" t="s">
        <v>818</v>
      </c>
      <c r="I320" s="26">
        <v>88000</v>
      </c>
      <c r="J320" s="17">
        <v>70400</v>
      </c>
      <c r="K320" s="17">
        <f t="shared" si="8"/>
        <v>352000</v>
      </c>
      <c r="L320" s="69">
        <f t="shared" si="9"/>
        <v>70400</v>
      </c>
    </row>
    <row r="321" spans="1:12" s="11" customFormat="1" ht="31.5">
      <c r="A321" s="20">
        <v>317</v>
      </c>
      <c r="B321" s="32" t="s">
        <v>827</v>
      </c>
      <c r="C321" s="25" t="s">
        <v>828</v>
      </c>
      <c r="D321" s="25"/>
      <c r="E321" s="28" t="s">
        <v>68</v>
      </c>
      <c r="F321" s="26">
        <v>2</v>
      </c>
      <c r="G321" s="26" t="s">
        <v>54</v>
      </c>
      <c r="H321" s="26" t="s">
        <v>81</v>
      </c>
      <c r="I321" s="26">
        <v>330000</v>
      </c>
      <c r="J321" s="17">
        <v>264000</v>
      </c>
      <c r="K321" s="17">
        <f t="shared" si="8"/>
        <v>528000</v>
      </c>
      <c r="L321" s="69">
        <f t="shared" si="9"/>
        <v>264000</v>
      </c>
    </row>
    <row r="322" spans="1:12" s="11" customFormat="1" ht="31.5">
      <c r="A322" s="20">
        <v>318</v>
      </c>
      <c r="B322" s="32" t="s">
        <v>829</v>
      </c>
      <c r="C322" s="25" t="s">
        <v>830</v>
      </c>
      <c r="D322" s="25"/>
      <c r="E322" s="28" t="s">
        <v>68</v>
      </c>
      <c r="F322" s="26">
        <v>2</v>
      </c>
      <c r="G322" s="26" t="s">
        <v>54</v>
      </c>
      <c r="H322" s="26" t="s">
        <v>81</v>
      </c>
      <c r="I322" s="26">
        <v>265000</v>
      </c>
      <c r="J322" s="17">
        <v>212000</v>
      </c>
      <c r="K322" s="17">
        <f t="shared" ref="K322:K385" si="10">F322*J322</f>
        <v>424000</v>
      </c>
      <c r="L322" s="69">
        <f t="shared" si="9"/>
        <v>212000</v>
      </c>
    </row>
    <row r="323" spans="1:12" s="11" customFormat="1" ht="31.5">
      <c r="A323" s="20">
        <v>319</v>
      </c>
      <c r="B323" s="32" t="s">
        <v>831</v>
      </c>
      <c r="C323" s="25" t="s">
        <v>832</v>
      </c>
      <c r="D323" s="25"/>
      <c r="E323" s="28" t="s">
        <v>68</v>
      </c>
      <c r="F323" s="26">
        <v>2</v>
      </c>
      <c r="G323" s="26" t="s">
        <v>804</v>
      </c>
      <c r="H323" s="26" t="s">
        <v>81</v>
      </c>
      <c r="I323" s="26">
        <v>269000</v>
      </c>
      <c r="J323" s="17">
        <v>215200</v>
      </c>
      <c r="K323" s="17">
        <f t="shared" si="10"/>
        <v>430400</v>
      </c>
      <c r="L323" s="69">
        <f t="shared" si="9"/>
        <v>215200</v>
      </c>
    </row>
    <row r="324" spans="1:12" s="11" customFormat="1" ht="63">
      <c r="A324" s="20">
        <v>320</v>
      </c>
      <c r="B324" s="32" t="s">
        <v>833</v>
      </c>
      <c r="C324" s="25" t="s">
        <v>834</v>
      </c>
      <c r="D324" s="25" t="s">
        <v>835</v>
      </c>
      <c r="E324" s="28" t="s">
        <v>68</v>
      </c>
      <c r="F324" s="26">
        <v>20</v>
      </c>
      <c r="G324" s="26" t="s">
        <v>756</v>
      </c>
      <c r="H324" s="26" t="s">
        <v>81</v>
      </c>
      <c r="I324" s="26">
        <v>34000</v>
      </c>
      <c r="J324" s="17">
        <v>27200</v>
      </c>
      <c r="K324" s="17">
        <f t="shared" si="10"/>
        <v>544000</v>
      </c>
      <c r="L324" s="69">
        <f t="shared" si="9"/>
        <v>27200</v>
      </c>
    </row>
    <row r="325" spans="1:12" s="11" customFormat="1" ht="63">
      <c r="A325" s="20">
        <v>321</v>
      </c>
      <c r="B325" s="32" t="s">
        <v>836</v>
      </c>
      <c r="C325" s="25" t="s">
        <v>837</v>
      </c>
      <c r="D325" s="25" t="s">
        <v>838</v>
      </c>
      <c r="E325" s="28" t="s">
        <v>68</v>
      </c>
      <c r="F325" s="26">
        <v>10</v>
      </c>
      <c r="G325" s="26" t="s">
        <v>54</v>
      </c>
      <c r="H325" s="26" t="s">
        <v>81</v>
      </c>
      <c r="I325" s="26">
        <v>65000</v>
      </c>
      <c r="J325" s="17">
        <v>52000</v>
      </c>
      <c r="K325" s="17">
        <f t="shared" si="10"/>
        <v>520000</v>
      </c>
      <c r="L325" s="69">
        <f t="shared" si="9"/>
        <v>52000</v>
      </c>
    </row>
    <row r="326" spans="1:12" s="11" customFormat="1">
      <c r="A326" s="20">
        <v>322</v>
      </c>
      <c r="B326" s="32" t="s">
        <v>839</v>
      </c>
      <c r="C326" s="25" t="s">
        <v>840</v>
      </c>
      <c r="D326" s="25"/>
      <c r="E326" s="28" t="s">
        <v>68</v>
      </c>
      <c r="F326" s="26">
        <v>10</v>
      </c>
      <c r="G326" s="26" t="s">
        <v>756</v>
      </c>
      <c r="H326" s="26" t="s">
        <v>81</v>
      </c>
      <c r="I326" s="26">
        <v>470000</v>
      </c>
      <c r="J326" s="17">
        <v>35000</v>
      </c>
      <c r="K326" s="17">
        <f t="shared" si="10"/>
        <v>350000</v>
      </c>
      <c r="L326" s="69">
        <f t="shared" ref="L326:L389" si="11">I326*80%</f>
        <v>376000</v>
      </c>
    </row>
    <row r="327" spans="1:12" s="11" customFormat="1" ht="31.5">
      <c r="A327" s="20">
        <v>323</v>
      </c>
      <c r="B327" s="32" t="s">
        <v>841</v>
      </c>
      <c r="C327" s="25" t="s">
        <v>842</v>
      </c>
      <c r="D327" s="25"/>
      <c r="E327" s="28" t="s">
        <v>68</v>
      </c>
      <c r="F327" s="26">
        <v>10</v>
      </c>
      <c r="G327" s="42" t="s">
        <v>843</v>
      </c>
      <c r="H327" s="26" t="s">
        <v>81</v>
      </c>
      <c r="I327" s="26">
        <v>85000</v>
      </c>
      <c r="J327" s="17">
        <v>68000</v>
      </c>
      <c r="K327" s="17">
        <f t="shared" si="10"/>
        <v>680000</v>
      </c>
      <c r="L327" s="69">
        <f t="shared" si="11"/>
        <v>68000</v>
      </c>
    </row>
    <row r="328" spans="1:12" s="11" customFormat="1" ht="126">
      <c r="A328" s="20">
        <v>324</v>
      </c>
      <c r="B328" s="32" t="s">
        <v>844</v>
      </c>
      <c r="C328" s="25" t="s">
        <v>845</v>
      </c>
      <c r="D328" s="25" t="s">
        <v>846</v>
      </c>
      <c r="E328" s="28" t="s">
        <v>167</v>
      </c>
      <c r="F328" s="26">
        <v>2</v>
      </c>
      <c r="G328" s="26" t="s">
        <v>847</v>
      </c>
      <c r="H328" s="26" t="s">
        <v>848</v>
      </c>
      <c r="I328" s="26">
        <v>265000</v>
      </c>
      <c r="J328" s="17">
        <v>212000</v>
      </c>
      <c r="K328" s="17">
        <f t="shared" si="10"/>
        <v>424000</v>
      </c>
      <c r="L328" s="69">
        <f t="shared" si="11"/>
        <v>212000</v>
      </c>
    </row>
    <row r="329" spans="1:12" s="11" customFormat="1" ht="19.899999999999999" customHeight="1">
      <c r="A329" s="20">
        <v>325</v>
      </c>
      <c r="B329" s="32" t="s">
        <v>849</v>
      </c>
      <c r="C329" s="21" t="s">
        <v>850</v>
      </c>
      <c r="D329" s="21"/>
      <c r="E329" s="28" t="s">
        <v>68</v>
      </c>
      <c r="F329" s="26">
        <v>192</v>
      </c>
      <c r="G329" s="26" t="s">
        <v>54</v>
      </c>
      <c r="H329" s="26" t="s">
        <v>15</v>
      </c>
      <c r="I329" s="26">
        <v>80000</v>
      </c>
      <c r="J329" s="17">
        <v>64000</v>
      </c>
      <c r="K329" s="17">
        <f t="shared" si="10"/>
        <v>12288000</v>
      </c>
      <c r="L329" s="69">
        <f t="shared" si="11"/>
        <v>64000</v>
      </c>
    </row>
    <row r="330" spans="1:12" s="11" customFormat="1" ht="19.899999999999999" customHeight="1">
      <c r="A330" s="20">
        <v>326</v>
      </c>
      <c r="B330" s="32" t="s">
        <v>851</v>
      </c>
      <c r="C330" s="21" t="s">
        <v>850</v>
      </c>
      <c r="D330" s="21"/>
      <c r="E330" s="28" t="s">
        <v>68</v>
      </c>
      <c r="F330" s="26">
        <v>288</v>
      </c>
      <c r="G330" s="26" t="s">
        <v>54</v>
      </c>
      <c r="H330" s="26" t="s">
        <v>15</v>
      </c>
      <c r="I330" s="26">
        <v>90000</v>
      </c>
      <c r="J330" s="17">
        <v>72000</v>
      </c>
      <c r="K330" s="17">
        <f t="shared" si="10"/>
        <v>20736000</v>
      </c>
      <c r="L330" s="69">
        <f t="shared" si="11"/>
        <v>72000</v>
      </c>
    </row>
    <row r="331" spans="1:12" s="11" customFormat="1" ht="19.899999999999999" customHeight="1">
      <c r="A331" s="20">
        <v>327</v>
      </c>
      <c r="B331" s="32" t="s">
        <v>849</v>
      </c>
      <c r="C331" s="21" t="s">
        <v>852</v>
      </c>
      <c r="D331" s="21"/>
      <c r="E331" s="28" t="s">
        <v>68</v>
      </c>
      <c r="F331" s="26">
        <v>263</v>
      </c>
      <c r="G331" s="26" t="s">
        <v>54</v>
      </c>
      <c r="H331" s="26" t="s">
        <v>15</v>
      </c>
      <c r="I331" s="26">
        <v>75000</v>
      </c>
      <c r="J331" s="17">
        <v>60000</v>
      </c>
      <c r="K331" s="17">
        <f t="shared" si="10"/>
        <v>15780000</v>
      </c>
      <c r="L331" s="69">
        <f t="shared" si="11"/>
        <v>60000</v>
      </c>
    </row>
    <row r="332" spans="1:12" s="11" customFormat="1" ht="19.899999999999999" customHeight="1">
      <c r="A332" s="20">
        <v>328</v>
      </c>
      <c r="B332" s="32" t="s">
        <v>851</v>
      </c>
      <c r="C332" s="21" t="s">
        <v>852</v>
      </c>
      <c r="D332" s="21"/>
      <c r="E332" s="28" t="s">
        <v>68</v>
      </c>
      <c r="F332" s="26">
        <v>263</v>
      </c>
      <c r="G332" s="26" t="s">
        <v>54</v>
      </c>
      <c r="H332" s="26" t="s">
        <v>15</v>
      </c>
      <c r="I332" s="26">
        <v>80000</v>
      </c>
      <c r="J332" s="17">
        <v>64000</v>
      </c>
      <c r="K332" s="17">
        <f t="shared" si="10"/>
        <v>16832000</v>
      </c>
      <c r="L332" s="69">
        <f t="shared" si="11"/>
        <v>64000</v>
      </c>
    </row>
    <row r="333" spans="1:12" s="12" customFormat="1">
      <c r="A333" s="20">
        <v>329</v>
      </c>
      <c r="B333" s="43" t="s">
        <v>853</v>
      </c>
      <c r="C333" s="21" t="s">
        <v>850</v>
      </c>
      <c r="D333" s="21"/>
      <c r="E333" s="44" t="s">
        <v>68</v>
      </c>
      <c r="F333" s="45">
        <v>32</v>
      </c>
      <c r="G333" s="45" t="s">
        <v>54</v>
      </c>
      <c r="H333" s="45" t="s">
        <v>15</v>
      </c>
      <c r="I333" s="45">
        <v>70000</v>
      </c>
      <c r="J333" s="17">
        <v>56000</v>
      </c>
      <c r="K333" s="17">
        <f t="shared" si="10"/>
        <v>1792000</v>
      </c>
      <c r="L333" s="69">
        <f t="shared" si="11"/>
        <v>56000</v>
      </c>
    </row>
    <row r="334" spans="1:12" s="11" customFormat="1" ht="165" customHeight="1">
      <c r="A334" s="20">
        <v>330</v>
      </c>
      <c r="B334" s="32" t="s">
        <v>854</v>
      </c>
      <c r="C334" s="21" t="s">
        <v>855</v>
      </c>
      <c r="D334" s="21" t="s">
        <v>856</v>
      </c>
      <c r="E334" s="28" t="s">
        <v>167</v>
      </c>
      <c r="F334" s="26">
        <v>10</v>
      </c>
      <c r="G334" s="26" t="s">
        <v>857</v>
      </c>
      <c r="H334" s="26" t="s">
        <v>160</v>
      </c>
      <c r="I334" s="26">
        <v>735000</v>
      </c>
      <c r="J334" s="17">
        <v>588000</v>
      </c>
      <c r="K334" s="17">
        <f t="shared" si="10"/>
        <v>5880000</v>
      </c>
      <c r="L334" s="69">
        <f t="shared" si="11"/>
        <v>588000</v>
      </c>
    </row>
    <row r="335" spans="1:12" s="11" customFormat="1" ht="48.95" customHeight="1">
      <c r="A335" s="20">
        <v>331</v>
      </c>
      <c r="B335" s="32" t="s">
        <v>858</v>
      </c>
      <c r="C335" s="21" t="s">
        <v>859</v>
      </c>
      <c r="D335" s="21" t="s">
        <v>860</v>
      </c>
      <c r="E335" s="28" t="s">
        <v>418</v>
      </c>
      <c r="F335" s="26">
        <v>8</v>
      </c>
      <c r="G335" s="26" t="s">
        <v>54</v>
      </c>
      <c r="H335" s="26" t="s">
        <v>15</v>
      </c>
      <c r="I335" s="26">
        <v>146000</v>
      </c>
      <c r="J335" s="17">
        <v>116800</v>
      </c>
      <c r="K335" s="17">
        <f t="shared" si="10"/>
        <v>934400</v>
      </c>
      <c r="L335" s="69">
        <f t="shared" si="11"/>
        <v>116800</v>
      </c>
    </row>
    <row r="336" spans="1:12" s="11" customFormat="1" ht="19.899999999999999" customHeight="1">
      <c r="A336" s="20">
        <v>332</v>
      </c>
      <c r="B336" s="32" t="s">
        <v>861</v>
      </c>
      <c r="C336" s="21" t="s">
        <v>862</v>
      </c>
      <c r="D336" s="21" t="s">
        <v>862</v>
      </c>
      <c r="E336" s="24" t="s">
        <v>863</v>
      </c>
      <c r="F336" s="26">
        <v>300</v>
      </c>
      <c r="G336" s="26" t="s">
        <v>864</v>
      </c>
      <c r="H336" s="26" t="s">
        <v>160</v>
      </c>
      <c r="I336" s="26">
        <v>25000</v>
      </c>
      <c r="J336" s="17">
        <v>20000</v>
      </c>
      <c r="K336" s="17">
        <f t="shared" si="10"/>
        <v>6000000</v>
      </c>
      <c r="L336" s="69">
        <f t="shared" si="11"/>
        <v>20000</v>
      </c>
    </row>
    <row r="337" spans="1:12" s="11" customFormat="1" ht="19.899999999999999" customHeight="1">
      <c r="A337" s="20">
        <v>333</v>
      </c>
      <c r="B337" s="32" t="s">
        <v>865</v>
      </c>
      <c r="C337" s="21" t="s">
        <v>866</v>
      </c>
      <c r="D337" s="21" t="s">
        <v>867</v>
      </c>
      <c r="E337" s="28" t="s">
        <v>68</v>
      </c>
      <c r="F337" s="26">
        <v>5</v>
      </c>
      <c r="G337" s="26" t="s">
        <v>868</v>
      </c>
      <c r="H337" s="26" t="s">
        <v>739</v>
      </c>
      <c r="I337" s="26">
        <v>400000</v>
      </c>
      <c r="J337" s="17">
        <v>370000</v>
      </c>
      <c r="K337" s="17">
        <f t="shared" si="10"/>
        <v>1850000</v>
      </c>
      <c r="L337" s="69">
        <f t="shared" si="11"/>
        <v>320000</v>
      </c>
    </row>
    <row r="338" spans="1:12" s="11" customFormat="1" ht="62.1" customHeight="1">
      <c r="A338" s="20">
        <v>334</v>
      </c>
      <c r="B338" s="32" t="s">
        <v>869</v>
      </c>
      <c r="C338" s="21" t="s">
        <v>741</v>
      </c>
      <c r="D338" s="21" t="s">
        <v>870</v>
      </c>
      <c r="E338" s="28" t="s">
        <v>68</v>
      </c>
      <c r="F338" s="26">
        <v>5</v>
      </c>
      <c r="G338" s="26" t="s">
        <v>871</v>
      </c>
      <c r="H338" s="26" t="s">
        <v>81</v>
      </c>
      <c r="I338" s="26">
        <v>235000</v>
      </c>
      <c r="J338" s="17">
        <v>220000</v>
      </c>
      <c r="K338" s="17">
        <f t="shared" si="10"/>
        <v>1100000</v>
      </c>
      <c r="L338" s="69">
        <f t="shared" si="11"/>
        <v>188000</v>
      </c>
    </row>
    <row r="339" spans="1:12" s="11" customFormat="1" ht="19.899999999999999" customHeight="1">
      <c r="A339" s="20">
        <v>335</v>
      </c>
      <c r="B339" s="21" t="s">
        <v>872</v>
      </c>
      <c r="C339" s="21" t="s">
        <v>741</v>
      </c>
      <c r="D339" s="21" t="s">
        <v>873</v>
      </c>
      <c r="E339" s="28" t="s">
        <v>68</v>
      </c>
      <c r="F339" s="26">
        <v>60</v>
      </c>
      <c r="G339" s="26" t="s">
        <v>513</v>
      </c>
      <c r="H339" s="26" t="s">
        <v>15</v>
      </c>
      <c r="I339" s="26">
        <v>15000</v>
      </c>
      <c r="J339" s="17">
        <v>20000</v>
      </c>
      <c r="K339" s="17">
        <f t="shared" si="10"/>
        <v>1200000</v>
      </c>
      <c r="L339" s="69">
        <f t="shared" si="11"/>
        <v>12000</v>
      </c>
    </row>
    <row r="340" spans="1:12" s="11" customFormat="1" ht="156.94999999999999" customHeight="1">
      <c r="A340" s="20">
        <v>336</v>
      </c>
      <c r="B340" s="32" t="s">
        <v>874</v>
      </c>
      <c r="C340" s="21" t="s">
        <v>741</v>
      </c>
      <c r="D340" s="21" t="s">
        <v>875</v>
      </c>
      <c r="E340" s="28" t="s">
        <v>68</v>
      </c>
      <c r="F340" s="26">
        <v>10</v>
      </c>
      <c r="G340" s="26" t="s">
        <v>871</v>
      </c>
      <c r="H340" s="26" t="s">
        <v>81</v>
      </c>
      <c r="I340" s="26">
        <v>310000</v>
      </c>
      <c r="J340" s="17">
        <v>245000</v>
      </c>
      <c r="K340" s="17">
        <f t="shared" si="10"/>
        <v>2450000</v>
      </c>
      <c r="L340" s="69">
        <f t="shared" si="11"/>
        <v>248000</v>
      </c>
    </row>
    <row r="341" spans="1:12" s="11" customFormat="1" ht="19.899999999999999" customHeight="1">
      <c r="A341" s="20">
        <v>337</v>
      </c>
      <c r="B341" s="21" t="s">
        <v>876</v>
      </c>
      <c r="C341" s="21" t="s">
        <v>741</v>
      </c>
      <c r="D341" s="21" t="s">
        <v>877</v>
      </c>
      <c r="E341" s="28" t="s">
        <v>68</v>
      </c>
      <c r="F341" s="16">
        <v>12</v>
      </c>
      <c r="G341" s="16" t="s">
        <v>878</v>
      </c>
      <c r="H341" s="16" t="s">
        <v>81</v>
      </c>
      <c r="I341" s="16">
        <v>215000</v>
      </c>
      <c r="J341" s="17">
        <v>172000</v>
      </c>
      <c r="K341" s="17">
        <f t="shared" si="10"/>
        <v>2064000</v>
      </c>
      <c r="L341" s="69">
        <f t="shared" si="11"/>
        <v>172000</v>
      </c>
    </row>
    <row r="342" spans="1:12" s="11" customFormat="1" ht="35.1" customHeight="1">
      <c r="A342" s="20">
        <v>338</v>
      </c>
      <c r="B342" s="32" t="s">
        <v>879</v>
      </c>
      <c r="C342" s="21" t="s">
        <v>880</v>
      </c>
      <c r="D342" s="21" t="s">
        <v>881</v>
      </c>
      <c r="E342" s="28" t="s">
        <v>68</v>
      </c>
      <c r="F342" s="26">
        <v>70</v>
      </c>
      <c r="G342" s="26" t="s">
        <v>871</v>
      </c>
      <c r="H342" s="26" t="s">
        <v>81</v>
      </c>
      <c r="I342" s="26">
        <v>160000</v>
      </c>
      <c r="J342" s="17">
        <v>128000</v>
      </c>
      <c r="K342" s="17">
        <f t="shared" si="10"/>
        <v>8960000</v>
      </c>
      <c r="L342" s="69">
        <f t="shared" si="11"/>
        <v>128000</v>
      </c>
    </row>
    <row r="343" spans="1:12" ht="80.099999999999994" customHeight="1">
      <c r="A343" s="20">
        <v>339</v>
      </c>
      <c r="B343" s="21" t="s">
        <v>882</v>
      </c>
      <c r="C343" s="21" t="s">
        <v>237</v>
      </c>
      <c r="D343" s="21" t="s">
        <v>883</v>
      </c>
      <c r="E343" s="20" t="s">
        <v>68</v>
      </c>
      <c r="F343" s="16">
        <v>300</v>
      </c>
      <c r="G343" s="16" t="s">
        <v>868</v>
      </c>
      <c r="H343" s="16" t="s">
        <v>739</v>
      </c>
      <c r="I343" s="16">
        <v>38000</v>
      </c>
      <c r="J343" s="17">
        <v>30400</v>
      </c>
      <c r="K343" s="17">
        <f t="shared" si="10"/>
        <v>9120000</v>
      </c>
      <c r="L343" s="69">
        <f t="shared" si="11"/>
        <v>30400</v>
      </c>
    </row>
    <row r="344" spans="1:12" s="11" customFormat="1" ht="19.899999999999999" customHeight="1">
      <c r="A344" s="20">
        <v>340</v>
      </c>
      <c r="B344" s="77" t="s">
        <v>884</v>
      </c>
      <c r="C344" s="21" t="s">
        <v>885</v>
      </c>
      <c r="D344" s="21"/>
      <c r="E344" s="28" t="s">
        <v>68</v>
      </c>
      <c r="F344" s="26">
        <v>10</v>
      </c>
      <c r="G344" s="26" t="s">
        <v>886</v>
      </c>
      <c r="H344" s="26" t="s">
        <v>160</v>
      </c>
      <c r="I344" s="26">
        <v>1002000</v>
      </c>
      <c r="J344" s="17">
        <v>801600</v>
      </c>
      <c r="K344" s="17">
        <f t="shared" si="10"/>
        <v>8016000</v>
      </c>
      <c r="L344" s="69">
        <f t="shared" si="11"/>
        <v>801600</v>
      </c>
    </row>
    <row r="345" spans="1:12" s="11" customFormat="1" ht="19.899999999999999" customHeight="1">
      <c r="A345" s="20">
        <v>341</v>
      </c>
      <c r="B345" s="77"/>
      <c r="C345" s="21" t="s">
        <v>887</v>
      </c>
      <c r="D345" s="21"/>
      <c r="E345" s="28" t="s">
        <v>68</v>
      </c>
      <c r="F345" s="26">
        <v>10</v>
      </c>
      <c r="G345" s="26" t="s">
        <v>886</v>
      </c>
      <c r="H345" s="26" t="s">
        <v>160</v>
      </c>
      <c r="I345" s="26">
        <v>800000</v>
      </c>
      <c r="J345" s="17">
        <v>640000</v>
      </c>
      <c r="K345" s="17">
        <f t="shared" si="10"/>
        <v>6400000</v>
      </c>
      <c r="L345" s="69">
        <f t="shared" si="11"/>
        <v>640000</v>
      </c>
    </row>
    <row r="346" spans="1:12" s="11" customFormat="1" ht="19.899999999999999" customHeight="1">
      <c r="A346" s="20">
        <v>342</v>
      </c>
      <c r="B346" s="77"/>
      <c r="C346" s="21" t="s">
        <v>888</v>
      </c>
      <c r="D346" s="21"/>
      <c r="E346" s="28" t="s">
        <v>68</v>
      </c>
      <c r="F346" s="26">
        <v>5</v>
      </c>
      <c r="G346" s="26" t="s">
        <v>886</v>
      </c>
      <c r="H346" s="26" t="s">
        <v>160</v>
      </c>
      <c r="I346" s="26">
        <v>780000</v>
      </c>
      <c r="J346" s="17">
        <v>624000</v>
      </c>
      <c r="K346" s="17">
        <f t="shared" si="10"/>
        <v>3120000</v>
      </c>
      <c r="L346" s="69">
        <f t="shared" si="11"/>
        <v>624000</v>
      </c>
    </row>
    <row r="347" spans="1:12" s="11" customFormat="1" ht="19.899999999999999" customHeight="1">
      <c r="A347" s="20">
        <v>343</v>
      </c>
      <c r="B347" s="32" t="s">
        <v>889</v>
      </c>
      <c r="C347" s="21" t="s">
        <v>741</v>
      </c>
      <c r="D347" s="21"/>
      <c r="E347" s="28" t="s">
        <v>68</v>
      </c>
      <c r="F347" s="26">
        <v>20</v>
      </c>
      <c r="G347" s="26" t="s">
        <v>54</v>
      </c>
      <c r="H347" s="26" t="s">
        <v>15</v>
      </c>
      <c r="I347" s="26">
        <v>50000</v>
      </c>
      <c r="J347" s="17">
        <v>40000</v>
      </c>
      <c r="K347" s="17">
        <f t="shared" si="10"/>
        <v>800000</v>
      </c>
      <c r="L347" s="69">
        <f t="shared" si="11"/>
        <v>40000</v>
      </c>
    </row>
    <row r="348" spans="1:12" s="11" customFormat="1" ht="30" customHeight="1">
      <c r="A348" s="20">
        <v>344</v>
      </c>
      <c r="B348" s="78" t="s">
        <v>890</v>
      </c>
      <c r="C348" s="41" t="s">
        <v>891</v>
      </c>
      <c r="D348" s="21"/>
      <c r="E348" s="20" t="s">
        <v>68</v>
      </c>
      <c r="F348" s="16">
        <v>10</v>
      </c>
      <c r="G348" s="16" t="s">
        <v>804</v>
      </c>
      <c r="H348" s="16" t="s">
        <v>81</v>
      </c>
      <c r="I348" s="16">
        <v>135000</v>
      </c>
      <c r="J348" s="17">
        <v>108000</v>
      </c>
      <c r="K348" s="17">
        <f t="shared" si="10"/>
        <v>1080000</v>
      </c>
      <c r="L348" s="69">
        <f t="shared" si="11"/>
        <v>108000</v>
      </c>
    </row>
    <row r="349" spans="1:12" s="11" customFormat="1" ht="30" customHeight="1">
      <c r="A349" s="20">
        <v>345</v>
      </c>
      <c r="B349" s="78"/>
      <c r="C349" s="41" t="s">
        <v>892</v>
      </c>
      <c r="D349" s="21"/>
      <c r="E349" s="20" t="s">
        <v>68</v>
      </c>
      <c r="F349" s="16">
        <v>10</v>
      </c>
      <c r="G349" s="16" t="s">
        <v>804</v>
      </c>
      <c r="H349" s="16" t="s">
        <v>81</v>
      </c>
      <c r="I349" s="16">
        <v>165000</v>
      </c>
      <c r="J349" s="17">
        <v>132000</v>
      </c>
      <c r="K349" s="17">
        <f t="shared" si="10"/>
        <v>1320000</v>
      </c>
      <c r="L349" s="69">
        <f t="shared" si="11"/>
        <v>132000</v>
      </c>
    </row>
    <row r="350" spans="1:12" s="11" customFormat="1" ht="30" customHeight="1">
      <c r="A350" s="20">
        <v>346</v>
      </c>
      <c r="B350" s="78"/>
      <c r="C350" s="41" t="s">
        <v>893</v>
      </c>
      <c r="D350" s="21"/>
      <c r="E350" s="20" t="s">
        <v>68</v>
      </c>
      <c r="F350" s="26">
        <v>10</v>
      </c>
      <c r="G350" s="16" t="s">
        <v>804</v>
      </c>
      <c r="H350" s="16" t="s">
        <v>81</v>
      </c>
      <c r="I350" s="26">
        <v>210000</v>
      </c>
      <c r="J350" s="17">
        <v>168000</v>
      </c>
      <c r="K350" s="17">
        <f t="shared" si="10"/>
        <v>1680000</v>
      </c>
      <c r="L350" s="69">
        <f t="shared" si="11"/>
        <v>168000</v>
      </c>
    </row>
    <row r="351" spans="1:12" s="11" customFormat="1" ht="89.25" customHeight="1">
      <c r="A351" s="20">
        <v>347</v>
      </c>
      <c r="B351" s="77" t="s">
        <v>894</v>
      </c>
      <c r="C351" s="21" t="s">
        <v>895</v>
      </c>
      <c r="D351" s="21" t="s">
        <v>896</v>
      </c>
      <c r="E351" s="20" t="s">
        <v>68</v>
      </c>
      <c r="F351" s="26">
        <v>50</v>
      </c>
      <c r="G351" s="26" t="s">
        <v>886</v>
      </c>
      <c r="H351" s="26" t="s">
        <v>160</v>
      </c>
      <c r="I351" s="26">
        <v>38000</v>
      </c>
      <c r="J351" s="17">
        <v>30400</v>
      </c>
      <c r="K351" s="17">
        <f t="shared" si="10"/>
        <v>1520000</v>
      </c>
      <c r="L351" s="69">
        <f t="shared" si="11"/>
        <v>30400</v>
      </c>
    </row>
    <row r="352" spans="1:12" s="11" customFormat="1" ht="19.899999999999999" customHeight="1">
      <c r="A352" s="20">
        <v>348</v>
      </c>
      <c r="B352" s="77"/>
      <c r="C352" s="21" t="s">
        <v>897</v>
      </c>
      <c r="D352" s="40" t="s">
        <v>898</v>
      </c>
      <c r="E352" s="20" t="s">
        <v>68</v>
      </c>
      <c r="F352" s="26">
        <v>50</v>
      </c>
      <c r="G352" s="26" t="s">
        <v>886</v>
      </c>
      <c r="H352" s="26" t="s">
        <v>160</v>
      </c>
      <c r="I352" s="26">
        <v>53000</v>
      </c>
      <c r="J352" s="17">
        <v>42400</v>
      </c>
      <c r="K352" s="17">
        <f t="shared" si="10"/>
        <v>2120000</v>
      </c>
      <c r="L352" s="69">
        <f t="shared" si="11"/>
        <v>42400</v>
      </c>
    </row>
    <row r="353" spans="1:12" s="11" customFormat="1" ht="19.899999999999999" customHeight="1">
      <c r="A353" s="20">
        <v>349</v>
      </c>
      <c r="B353" s="77"/>
      <c r="C353" s="21" t="s">
        <v>899</v>
      </c>
      <c r="D353" s="40" t="s">
        <v>900</v>
      </c>
      <c r="E353" s="20" t="s">
        <v>68</v>
      </c>
      <c r="F353" s="26">
        <v>50</v>
      </c>
      <c r="G353" s="26" t="s">
        <v>886</v>
      </c>
      <c r="H353" s="26" t="s">
        <v>160</v>
      </c>
      <c r="I353" s="26">
        <v>38000</v>
      </c>
      <c r="J353" s="17">
        <v>30400</v>
      </c>
      <c r="K353" s="17">
        <f t="shared" si="10"/>
        <v>1520000</v>
      </c>
      <c r="L353" s="69">
        <f t="shared" si="11"/>
        <v>30400</v>
      </c>
    </row>
    <row r="354" spans="1:12" s="11" customFormat="1" ht="19.899999999999999" customHeight="1">
      <c r="A354" s="20">
        <v>350</v>
      </c>
      <c r="B354" s="77"/>
      <c r="C354" s="21" t="s">
        <v>901</v>
      </c>
      <c r="D354" s="40" t="s">
        <v>776</v>
      </c>
      <c r="E354" s="20" t="s">
        <v>68</v>
      </c>
      <c r="F354" s="26">
        <v>50</v>
      </c>
      <c r="G354" s="26" t="s">
        <v>886</v>
      </c>
      <c r="H354" s="26" t="s">
        <v>160</v>
      </c>
      <c r="I354" s="26">
        <v>44000</v>
      </c>
      <c r="J354" s="17">
        <v>35200</v>
      </c>
      <c r="K354" s="17">
        <f t="shared" si="10"/>
        <v>1760000</v>
      </c>
      <c r="L354" s="69">
        <f t="shared" si="11"/>
        <v>35200</v>
      </c>
    </row>
    <row r="355" spans="1:12" s="11" customFormat="1" ht="19.899999999999999" customHeight="1">
      <c r="A355" s="20">
        <v>351</v>
      </c>
      <c r="B355" s="77"/>
      <c r="C355" s="21" t="s">
        <v>902</v>
      </c>
      <c r="D355" s="40" t="s">
        <v>903</v>
      </c>
      <c r="E355" s="20" t="s">
        <v>68</v>
      </c>
      <c r="F355" s="26">
        <v>50</v>
      </c>
      <c r="G355" s="26" t="s">
        <v>886</v>
      </c>
      <c r="H355" s="26" t="s">
        <v>160</v>
      </c>
      <c r="I355" s="26">
        <v>53000</v>
      </c>
      <c r="J355" s="17">
        <v>42400</v>
      </c>
      <c r="K355" s="17">
        <f t="shared" si="10"/>
        <v>2120000</v>
      </c>
      <c r="L355" s="69">
        <f t="shared" si="11"/>
        <v>42400</v>
      </c>
    </row>
    <row r="356" spans="1:12" s="11" customFormat="1" ht="19.899999999999999" customHeight="1">
      <c r="A356" s="20">
        <v>352</v>
      </c>
      <c r="B356" s="77"/>
      <c r="C356" s="21" t="s">
        <v>904</v>
      </c>
      <c r="D356" s="40" t="s">
        <v>905</v>
      </c>
      <c r="E356" s="20" t="s">
        <v>68</v>
      </c>
      <c r="F356" s="26">
        <v>55</v>
      </c>
      <c r="G356" s="26" t="s">
        <v>886</v>
      </c>
      <c r="H356" s="26" t="s">
        <v>160</v>
      </c>
      <c r="I356" s="26">
        <v>81000</v>
      </c>
      <c r="J356" s="17">
        <v>64800</v>
      </c>
      <c r="K356" s="17">
        <f t="shared" si="10"/>
        <v>3564000</v>
      </c>
      <c r="L356" s="69">
        <f t="shared" si="11"/>
        <v>64800</v>
      </c>
    </row>
    <row r="357" spans="1:12" s="11" customFormat="1" ht="19.899999999999999" customHeight="1">
      <c r="A357" s="20">
        <v>353</v>
      </c>
      <c r="B357" s="77"/>
      <c r="C357" s="21" t="s">
        <v>906</v>
      </c>
      <c r="D357" s="40" t="s">
        <v>907</v>
      </c>
      <c r="E357" s="20" t="s">
        <v>68</v>
      </c>
      <c r="F357" s="26">
        <v>50</v>
      </c>
      <c r="G357" s="26" t="s">
        <v>886</v>
      </c>
      <c r="H357" s="26" t="s">
        <v>160</v>
      </c>
      <c r="I357" s="26">
        <v>53000</v>
      </c>
      <c r="J357" s="17">
        <v>42400</v>
      </c>
      <c r="K357" s="17">
        <f t="shared" si="10"/>
        <v>2120000</v>
      </c>
      <c r="L357" s="69">
        <f t="shared" si="11"/>
        <v>42400</v>
      </c>
    </row>
    <row r="358" spans="1:12" s="11" customFormat="1" ht="19.899999999999999" customHeight="1">
      <c r="A358" s="20">
        <v>354</v>
      </c>
      <c r="B358" s="77"/>
      <c r="C358" s="21" t="s">
        <v>908</v>
      </c>
      <c r="D358" s="40" t="s">
        <v>778</v>
      </c>
      <c r="E358" s="20" t="s">
        <v>68</v>
      </c>
      <c r="F358" s="26">
        <v>62</v>
      </c>
      <c r="G358" s="26" t="s">
        <v>886</v>
      </c>
      <c r="H358" s="26" t="s">
        <v>160</v>
      </c>
      <c r="I358" s="26">
        <v>58000</v>
      </c>
      <c r="J358" s="17">
        <v>46400</v>
      </c>
      <c r="K358" s="17">
        <f t="shared" si="10"/>
        <v>2876800</v>
      </c>
      <c r="L358" s="69">
        <f t="shared" si="11"/>
        <v>46400</v>
      </c>
    </row>
    <row r="359" spans="1:12" s="11" customFormat="1" ht="19.899999999999999" customHeight="1">
      <c r="A359" s="20">
        <v>355</v>
      </c>
      <c r="B359" s="77"/>
      <c r="C359" s="21" t="s">
        <v>909</v>
      </c>
      <c r="D359" s="40" t="s">
        <v>907</v>
      </c>
      <c r="E359" s="20" t="s">
        <v>68</v>
      </c>
      <c r="F359" s="26">
        <v>100</v>
      </c>
      <c r="G359" s="26" t="s">
        <v>886</v>
      </c>
      <c r="H359" s="26" t="s">
        <v>160</v>
      </c>
      <c r="I359" s="26">
        <v>62000</v>
      </c>
      <c r="J359" s="17">
        <v>49600</v>
      </c>
      <c r="K359" s="17">
        <f t="shared" si="10"/>
        <v>4960000</v>
      </c>
      <c r="L359" s="69">
        <f t="shared" si="11"/>
        <v>49600</v>
      </c>
    </row>
    <row r="360" spans="1:12" s="11" customFormat="1" ht="19.899999999999999" customHeight="1">
      <c r="A360" s="20">
        <v>356</v>
      </c>
      <c r="B360" s="77"/>
      <c r="C360" s="21" t="s">
        <v>910</v>
      </c>
      <c r="D360" s="40" t="s">
        <v>780</v>
      </c>
      <c r="E360" s="20" t="s">
        <v>68</v>
      </c>
      <c r="F360" s="26">
        <v>60</v>
      </c>
      <c r="G360" s="26" t="s">
        <v>886</v>
      </c>
      <c r="H360" s="26" t="s">
        <v>160</v>
      </c>
      <c r="I360" s="26">
        <v>83000</v>
      </c>
      <c r="J360" s="17">
        <v>66400</v>
      </c>
      <c r="K360" s="17">
        <f t="shared" si="10"/>
        <v>3984000</v>
      </c>
      <c r="L360" s="69">
        <f t="shared" si="11"/>
        <v>66400</v>
      </c>
    </row>
    <row r="361" spans="1:12" s="11" customFormat="1" ht="19.899999999999999" customHeight="1">
      <c r="A361" s="20">
        <v>357</v>
      </c>
      <c r="B361" s="77"/>
      <c r="C361" s="21" t="s">
        <v>911</v>
      </c>
      <c r="D361" s="40" t="s">
        <v>912</v>
      </c>
      <c r="E361" s="20" t="s">
        <v>68</v>
      </c>
      <c r="F361" s="26">
        <v>50</v>
      </c>
      <c r="G361" s="26" t="s">
        <v>886</v>
      </c>
      <c r="H361" s="26" t="s">
        <v>160</v>
      </c>
      <c r="I361" s="26">
        <v>96000</v>
      </c>
      <c r="J361" s="17">
        <v>76800</v>
      </c>
      <c r="K361" s="17">
        <f t="shared" si="10"/>
        <v>3840000</v>
      </c>
      <c r="L361" s="69">
        <f t="shared" si="11"/>
        <v>76800</v>
      </c>
    </row>
    <row r="362" spans="1:12" s="11" customFormat="1" ht="19.899999999999999" customHeight="1">
      <c r="A362" s="20">
        <v>358</v>
      </c>
      <c r="B362" s="77"/>
      <c r="C362" s="21" t="s">
        <v>913</v>
      </c>
      <c r="D362" s="40" t="s">
        <v>914</v>
      </c>
      <c r="E362" s="20" t="s">
        <v>68</v>
      </c>
      <c r="F362" s="26">
        <v>50</v>
      </c>
      <c r="G362" s="26" t="s">
        <v>886</v>
      </c>
      <c r="H362" s="26" t="s">
        <v>160</v>
      </c>
      <c r="I362" s="26">
        <v>88000</v>
      </c>
      <c r="J362" s="17">
        <v>70400</v>
      </c>
      <c r="K362" s="17">
        <f t="shared" si="10"/>
        <v>3520000</v>
      </c>
      <c r="L362" s="69">
        <f t="shared" si="11"/>
        <v>70400</v>
      </c>
    </row>
    <row r="363" spans="1:12" s="11" customFormat="1" ht="19.899999999999999" customHeight="1">
      <c r="A363" s="20">
        <v>359</v>
      </c>
      <c r="B363" s="77"/>
      <c r="C363" s="21" t="s">
        <v>915</v>
      </c>
      <c r="D363" s="40" t="s">
        <v>916</v>
      </c>
      <c r="E363" s="20" t="s">
        <v>68</v>
      </c>
      <c r="F363" s="26">
        <v>70</v>
      </c>
      <c r="G363" s="26" t="s">
        <v>886</v>
      </c>
      <c r="H363" s="26" t="s">
        <v>160</v>
      </c>
      <c r="I363" s="26">
        <v>99000</v>
      </c>
      <c r="J363" s="17">
        <v>79200</v>
      </c>
      <c r="K363" s="17">
        <f t="shared" si="10"/>
        <v>5544000</v>
      </c>
      <c r="L363" s="69">
        <f t="shared" si="11"/>
        <v>79200</v>
      </c>
    </row>
    <row r="364" spans="1:12" s="11" customFormat="1" ht="19.899999999999999" customHeight="1">
      <c r="A364" s="20">
        <v>360</v>
      </c>
      <c r="B364" s="77"/>
      <c r="C364" s="21" t="s">
        <v>917</v>
      </c>
      <c r="D364" s="40" t="s">
        <v>918</v>
      </c>
      <c r="E364" s="20" t="s">
        <v>68</v>
      </c>
      <c r="F364" s="26">
        <v>50</v>
      </c>
      <c r="G364" s="26" t="s">
        <v>886</v>
      </c>
      <c r="H364" s="26" t="s">
        <v>160</v>
      </c>
      <c r="I364" s="26">
        <v>93000</v>
      </c>
      <c r="J364" s="17">
        <v>74400</v>
      </c>
      <c r="K364" s="17">
        <f t="shared" si="10"/>
        <v>3720000</v>
      </c>
      <c r="L364" s="69">
        <f t="shared" si="11"/>
        <v>74400</v>
      </c>
    </row>
    <row r="365" spans="1:12" s="11" customFormat="1" ht="19.899999999999999" customHeight="1">
      <c r="A365" s="20">
        <v>361</v>
      </c>
      <c r="B365" s="77"/>
      <c r="C365" s="21" t="s">
        <v>919</v>
      </c>
      <c r="D365" s="40" t="s">
        <v>920</v>
      </c>
      <c r="E365" s="20" t="s">
        <v>68</v>
      </c>
      <c r="F365" s="26">
        <v>50</v>
      </c>
      <c r="G365" s="26" t="s">
        <v>886</v>
      </c>
      <c r="H365" s="26" t="s">
        <v>160</v>
      </c>
      <c r="I365" s="26">
        <v>128000</v>
      </c>
      <c r="J365" s="17">
        <v>102400</v>
      </c>
      <c r="K365" s="17">
        <f t="shared" si="10"/>
        <v>5120000</v>
      </c>
      <c r="L365" s="69">
        <f t="shared" si="11"/>
        <v>102400</v>
      </c>
    </row>
    <row r="366" spans="1:12" s="11" customFormat="1" ht="19.899999999999999" customHeight="1">
      <c r="A366" s="20">
        <v>362</v>
      </c>
      <c r="B366" s="77"/>
      <c r="C366" s="21" t="s">
        <v>921</v>
      </c>
      <c r="D366" s="40" t="s">
        <v>782</v>
      </c>
      <c r="E366" s="20" t="s">
        <v>68</v>
      </c>
      <c r="F366" s="26">
        <v>60</v>
      </c>
      <c r="G366" s="26" t="s">
        <v>886</v>
      </c>
      <c r="H366" s="26" t="s">
        <v>160</v>
      </c>
      <c r="I366" s="26">
        <v>133000</v>
      </c>
      <c r="J366" s="17">
        <v>106400</v>
      </c>
      <c r="K366" s="17">
        <f t="shared" si="10"/>
        <v>6384000</v>
      </c>
      <c r="L366" s="69">
        <f t="shared" si="11"/>
        <v>106400</v>
      </c>
    </row>
    <row r="367" spans="1:12" s="11" customFormat="1" ht="19.899999999999999" customHeight="1">
      <c r="A367" s="20">
        <v>363</v>
      </c>
      <c r="B367" s="77"/>
      <c r="C367" s="21" t="s">
        <v>922</v>
      </c>
      <c r="D367" s="40" t="s">
        <v>923</v>
      </c>
      <c r="E367" s="20" t="s">
        <v>68</v>
      </c>
      <c r="F367" s="26">
        <v>50</v>
      </c>
      <c r="G367" s="26" t="s">
        <v>886</v>
      </c>
      <c r="H367" s="26" t="s">
        <v>160</v>
      </c>
      <c r="I367" s="26">
        <v>135000</v>
      </c>
      <c r="J367" s="17">
        <v>108000</v>
      </c>
      <c r="K367" s="17">
        <f t="shared" si="10"/>
        <v>5400000</v>
      </c>
      <c r="L367" s="69">
        <f t="shared" si="11"/>
        <v>108000</v>
      </c>
    </row>
    <row r="368" spans="1:12" s="11" customFormat="1" ht="19.899999999999999" customHeight="1">
      <c r="A368" s="20">
        <v>364</v>
      </c>
      <c r="B368" s="77"/>
      <c r="C368" s="21" t="s">
        <v>924</v>
      </c>
      <c r="D368" s="40" t="s">
        <v>925</v>
      </c>
      <c r="E368" s="20" t="s">
        <v>68</v>
      </c>
      <c r="F368" s="26">
        <v>50</v>
      </c>
      <c r="G368" s="26" t="s">
        <v>886</v>
      </c>
      <c r="H368" s="26" t="s">
        <v>160</v>
      </c>
      <c r="I368" s="26">
        <v>160000</v>
      </c>
      <c r="J368" s="17">
        <v>128000</v>
      </c>
      <c r="K368" s="17">
        <f t="shared" si="10"/>
        <v>6400000</v>
      </c>
      <c r="L368" s="69">
        <f t="shared" si="11"/>
        <v>128000</v>
      </c>
    </row>
    <row r="369" spans="1:12" s="11" customFormat="1" ht="19.899999999999999" customHeight="1">
      <c r="A369" s="20">
        <v>365</v>
      </c>
      <c r="B369" s="77"/>
      <c r="C369" s="21" t="s">
        <v>926</v>
      </c>
      <c r="D369" s="40" t="s">
        <v>927</v>
      </c>
      <c r="E369" s="20" t="s">
        <v>68</v>
      </c>
      <c r="F369" s="26">
        <v>47</v>
      </c>
      <c r="G369" s="26" t="s">
        <v>886</v>
      </c>
      <c r="H369" s="26" t="s">
        <v>160</v>
      </c>
      <c r="I369" s="26">
        <v>190000</v>
      </c>
      <c r="J369" s="17">
        <v>152000</v>
      </c>
      <c r="K369" s="17">
        <f t="shared" si="10"/>
        <v>7144000</v>
      </c>
      <c r="L369" s="69">
        <f t="shared" si="11"/>
        <v>152000</v>
      </c>
    </row>
    <row r="370" spans="1:12" s="11" customFormat="1" ht="19.899999999999999" customHeight="1">
      <c r="A370" s="20">
        <v>366</v>
      </c>
      <c r="B370" s="77"/>
      <c r="C370" s="21" t="s">
        <v>928</v>
      </c>
      <c r="D370" s="40" t="s">
        <v>785</v>
      </c>
      <c r="E370" s="20" t="s">
        <v>68</v>
      </c>
      <c r="F370" s="26">
        <v>76</v>
      </c>
      <c r="G370" s="26" t="s">
        <v>886</v>
      </c>
      <c r="H370" s="26" t="s">
        <v>160</v>
      </c>
      <c r="I370" s="26">
        <v>190000</v>
      </c>
      <c r="J370" s="17">
        <v>152000</v>
      </c>
      <c r="K370" s="17">
        <f t="shared" si="10"/>
        <v>11552000</v>
      </c>
      <c r="L370" s="69">
        <f t="shared" si="11"/>
        <v>152000</v>
      </c>
    </row>
    <row r="371" spans="1:12" s="11" customFormat="1" ht="19.899999999999999" customHeight="1">
      <c r="A371" s="20">
        <v>367</v>
      </c>
      <c r="B371" s="77"/>
      <c r="C371" s="21" t="s">
        <v>929</v>
      </c>
      <c r="D371" s="40" t="s">
        <v>930</v>
      </c>
      <c r="E371" s="20" t="s">
        <v>68</v>
      </c>
      <c r="F371" s="26">
        <v>50</v>
      </c>
      <c r="G371" s="26" t="s">
        <v>886</v>
      </c>
      <c r="H371" s="26" t="s">
        <v>160</v>
      </c>
      <c r="I371" s="26">
        <v>230000</v>
      </c>
      <c r="J371" s="17">
        <v>184000</v>
      </c>
      <c r="K371" s="17">
        <f t="shared" si="10"/>
        <v>9200000</v>
      </c>
      <c r="L371" s="69">
        <f t="shared" si="11"/>
        <v>184000</v>
      </c>
    </row>
    <row r="372" spans="1:12" s="11" customFormat="1" ht="19.899999999999999" customHeight="1">
      <c r="A372" s="20">
        <v>368</v>
      </c>
      <c r="B372" s="77"/>
      <c r="C372" s="21" t="s">
        <v>931</v>
      </c>
      <c r="D372" s="40" t="s">
        <v>932</v>
      </c>
      <c r="E372" s="20" t="s">
        <v>68</v>
      </c>
      <c r="F372" s="26">
        <v>45</v>
      </c>
      <c r="G372" s="26" t="s">
        <v>886</v>
      </c>
      <c r="H372" s="26" t="s">
        <v>160</v>
      </c>
      <c r="I372" s="26">
        <v>235000</v>
      </c>
      <c r="J372" s="17">
        <v>188000</v>
      </c>
      <c r="K372" s="17">
        <f t="shared" si="10"/>
        <v>8460000</v>
      </c>
      <c r="L372" s="69">
        <f t="shared" si="11"/>
        <v>188000</v>
      </c>
    </row>
    <row r="373" spans="1:12" s="11" customFormat="1" ht="19.899999999999999" customHeight="1">
      <c r="A373" s="20">
        <v>369</v>
      </c>
      <c r="B373" s="77"/>
      <c r="C373" s="21" t="s">
        <v>933</v>
      </c>
      <c r="D373" s="40" t="s">
        <v>934</v>
      </c>
      <c r="E373" s="20" t="s">
        <v>68</v>
      </c>
      <c r="F373" s="26">
        <v>30</v>
      </c>
      <c r="G373" s="26" t="s">
        <v>886</v>
      </c>
      <c r="H373" s="26" t="s">
        <v>160</v>
      </c>
      <c r="I373" s="26">
        <v>289000</v>
      </c>
      <c r="J373" s="17">
        <v>231200</v>
      </c>
      <c r="K373" s="17">
        <f t="shared" si="10"/>
        <v>6936000</v>
      </c>
      <c r="L373" s="69">
        <f t="shared" si="11"/>
        <v>231200</v>
      </c>
    </row>
    <row r="374" spans="1:12" s="11" customFormat="1" ht="19.899999999999999" customHeight="1">
      <c r="A374" s="20">
        <v>370</v>
      </c>
      <c r="B374" s="77"/>
      <c r="C374" s="21" t="s">
        <v>935</v>
      </c>
      <c r="D374" s="40" t="s">
        <v>936</v>
      </c>
      <c r="E374" s="20" t="s">
        <v>68</v>
      </c>
      <c r="F374" s="26">
        <v>30</v>
      </c>
      <c r="G374" s="26" t="s">
        <v>886</v>
      </c>
      <c r="H374" s="26" t="s">
        <v>160</v>
      </c>
      <c r="I374" s="26">
        <v>270000</v>
      </c>
      <c r="J374" s="17">
        <v>216000</v>
      </c>
      <c r="K374" s="17">
        <f t="shared" si="10"/>
        <v>6480000</v>
      </c>
      <c r="L374" s="69">
        <f t="shared" si="11"/>
        <v>216000</v>
      </c>
    </row>
    <row r="375" spans="1:12" s="11" customFormat="1" ht="19.899999999999999" customHeight="1">
      <c r="A375" s="20">
        <v>371</v>
      </c>
      <c r="B375" s="77"/>
      <c r="C375" s="21" t="s">
        <v>937</v>
      </c>
      <c r="D375" s="40" t="s">
        <v>788</v>
      </c>
      <c r="E375" s="20" t="s">
        <v>68</v>
      </c>
      <c r="F375" s="26">
        <v>35</v>
      </c>
      <c r="G375" s="26" t="s">
        <v>886</v>
      </c>
      <c r="H375" s="26" t="s">
        <v>160</v>
      </c>
      <c r="I375" s="26">
        <v>285000</v>
      </c>
      <c r="J375" s="17">
        <v>228000</v>
      </c>
      <c r="K375" s="17">
        <f t="shared" si="10"/>
        <v>7980000</v>
      </c>
      <c r="L375" s="69">
        <f t="shared" si="11"/>
        <v>228000</v>
      </c>
    </row>
    <row r="376" spans="1:12" s="11" customFormat="1" ht="19.899999999999999" customHeight="1">
      <c r="A376" s="20">
        <v>372</v>
      </c>
      <c r="B376" s="77"/>
      <c r="C376" s="21" t="s">
        <v>938</v>
      </c>
      <c r="D376" s="40" t="s">
        <v>939</v>
      </c>
      <c r="E376" s="20" t="s">
        <v>68</v>
      </c>
      <c r="F376" s="26">
        <v>28</v>
      </c>
      <c r="G376" s="26" t="s">
        <v>886</v>
      </c>
      <c r="H376" s="26" t="s">
        <v>160</v>
      </c>
      <c r="I376" s="26">
        <v>335000</v>
      </c>
      <c r="J376" s="17">
        <v>268000</v>
      </c>
      <c r="K376" s="17">
        <f t="shared" si="10"/>
        <v>7504000</v>
      </c>
      <c r="L376" s="69">
        <f t="shared" si="11"/>
        <v>268000</v>
      </c>
    </row>
    <row r="377" spans="1:12" s="11" customFormat="1" ht="19.899999999999999" customHeight="1">
      <c r="A377" s="20">
        <v>373</v>
      </c>
      <c r="B377" s="77"/>
      <c r="C377" s="21" t="s">
        <v>940</v>
      </c>
      <c r="D377" s="40" t="s">
        <v>790</v>
      </c>
      <c r="E377" s="20" t="s">
        <v>68</v>
      </c>
      <c r="F377" s="26">
        <v>28</v>
      </c>
      <c r="G377" s="26" t="s">
        <v>886</v>
      </c>
      <c r="H377" s="26" t="s">
        <v>160</v>
      </c>
      <c r="I377" s="26">
        <v>645000</v>
      </c>
      <c r="J377" s="17">
        <v>516000</v>
      </c>
      <c r="K377" s="17">
        <f t="shared" si="10"/>
        <v>14448000</v>
      </c>
      <c r="L377" s="69">
        <f t="shared" si="11"/>
        <v>516000</v>
      </c>
    </row>
    <row r="378" spans="1:12" s="11" customFormat="1" ht="19.899999999999999" customHeight="1">
      <c r="A378" s="20">
        <v>374</v>
      </c>
      <c r="B378" s="77"/>
      <c r="C378" s="21" t="s">
        <v>941</v>
      </c>
      <c r="D378" s="40" t="s">
        <v>942</v>
      </c>
      <c r="E378" s="20" t="s">
        <v>68</v>
      </c>
      <c r="F378" s="26">
        <v>20</v>
      </c>
      <c r="G378" s="26" t="s">
        <v>886</v>
      </c>
      <c r="H378" s="26" t="s">
        <v>160</v>
      </c>
      <c r="I378" s="26">
        <v>660000</v>
      </c>
      <c r="J378" s="17">
        <v>528000</v>
      </c>
      <c r="K378" s="17">
        <f t="shared" si="10"/>
        <v>10560000</v>
      </c>
      <c r="L378" s="69">
        <f t="shared" si="11"/>
        <v>528000</v>
      </c>
    </row>
    <row r="379" spans="1:12" s="11" customFormat="1" ht="19.899999999999999" customHeight="1">
      <c r="A379" s="20">
        <v>375</v>
      </c>
      <c r="B379" s="77"/>
      <c r="C379" s="21" t="s">
        <v>943</v>
      </c>
      <c r="D379" s="40" t="s">
        <v>792</v>
      </c>
      <c r="E379" s="20" t="s">
        <v>68</v>
      </c>
      <c r="F379" s="26">
        <v>18</v>
      </c>
      <c r="G379" s="26" t="s">
        <v>886</v>
      </c>
      <c r="H379" s="26" t="s">
        <v>160</v>
      </c>
      <c r="I379" s="26">
        <v>863000</v>
      </c>
      <c r="J379" s="17">
        <v>690400</v>
      </c>
      <c r="K379" s="17">
        <f t="shared" si="10"/>
        <v>12427200</v>
      </c>
      <c r="L379" s="69">
        <f t="shared" si="11"/>
        <v>690400</v>
      </c>
    </row>
    <row r="380" spans="1:12" s="11" customFormat="1" ht="19.899999999999999" customHeight="1">
      <c r="A380" s="20">
        <v>376</v>
      </c>
      <c r="B380" s="77"/>
      <c r="C380" s="21" t="s">
        <v>944</v>
      </c>
      <c r="D380" s="40" t="s">
        <v>794</v>
      </c>
      <c r="E380" s="20" t="s">
        <v>68</v>
      </c>
      <c r="F380" s="26">
        <v>5</v>
      </c>
      <c r="G380" s="26" t="s">
        <v>886</v>
      </c>
      <c r="H380" s="26" t="s">
        <v>160</v>
      </c>
      <c r="I380" s="26">
        <v>1650000</v>
      </c>
      <c r="J380" s="17">
        <v>1320000</v>
      </c>
      <c r="K380" s="17">
        <f t="shared" si="10"/>
        <v>6600000</v>
      </c>
      <c r="L380" s="69">
        <f t="shared" si="11"/>
        <v>1320000</v>
      </c>
    </row>
    <row r="381" spans="1:12" s="11" customFormat="1" ht="19.899999999999999" customHeight="1">
      <c r="A381" s="20">
        <v>377</v>
      </c>
      <c r="B381" s="77"/>
      <c r="C381" s="21" t="s">
        <v>945</v>
      </c>
      <c r="D381" s="40" t="s">
        <v>796</v>
      </c>
      <c r="E381" s="20" t="s">
        <v>68</v>
      </c>
      <c r="F381" s="26">
        <v>5</v>
      </c>
      <c r="G381" s="26" t="s">
        <v>886</v>
      </c>
      <c r="H381" s="26" t="s">
        <v>160</v>
      </c>
      <c r="I381" s="26">
        <v>2050000</v>
      </c>
      <c r="J381" s="17">
        <v>1640000</v>
      </c>
      <c r="K381" s="17">
        <f t="shared" si="10"/>
        <v>8200000</v>
      </c>
      <c r="L381" s="69">
        <f t="shared" si="11"/>
        <v>1640000</v>
      </c>
    </row>
    <row r="382" spans="1:12" s="11" customFormat="1" ht="19.899999999999999" customHeight="1">
      <c r="A382" s="20">
        <v>378</v>
      </c>
      <c r="B382" s="77"/>
      <c r="C382" s="21" t="s">
        <v>946</v>
      </c>
      <c r="D382" s="40" t="s">
        <v>947</v>
      </c>
      <c r="E382" s="20" t="s">
        <v>68</v>
      </c>
      <c r="F382" s="26">
        <v>5</v>
      </c>
      <c r="G382" s="26" t="s">
        <v>886</v>
      </c>
      <c r="H382" s="26" t="s">
        <v>160</v>
      </c>
      <c r="I382" s="26">
        <v>2950000</v>
      </c>
      <c r="J382" s="17">
        <v>2360000</v>
      </c>
      <c r="K382" s="17">
        <f t="shared" si="10"/>
        <v>11800000</v>
      </c>
      <c r="L382" s="69">
        <f t="shared" si="11"/>
        <v>2360000</v>
      </c>
    </row>
    <row r="383" spans="1:12" s="11" customFormat="1">
      <c r="A383" s="20">
        <v>379</v>
      </c>
      <c r="B383" s="77" t="s">
        <v>948</v>
      </c>
      <c r="C383" s="21" t="s">
        <v>949</v>
      </c>
      <c r="D383" s="21"/>
      <c r="E383" s="20" t="s">
        <v>68</v>
      </c>
      <c r="F383" s="26">
        <v>2</v>
      </c>
      <c r="G383" s="26" t="s">
        <v>950</v>
      </c>
      <c r="H383" s="26" t="s">
        <v>81</v>
      </c>
      <c r="I383" s="26">
        <v>235000</v>
      </c>
      <c r="J383" s="17">
        <v>188000</v>
      </c>
      <c r="K383" s="17">
        <f t="shared" si="10"/>
        <v>376000</v>
      </c>
      <c r="L383" s="69">
        <f t="shared" si="11"/>
        <v>188000</v>
      </c>
    </row>
    <row r="384" spans="1:12" s="11" customFormat="1" ht="19.149999999999999" customHeight="1">
      <c r="A384" s="20">
        <v>380</v>
      </c>
      <c r="B384" s="77"/>
      <c r="C384" s="21" t="s">
        <v>951</v>
      </c>
      <c r="D384" s="21"/>
      <c r="E384" s="20" t="s">
        <v>68</v>
      </c>
      <c r="F384" s="26">
        <v>32</v>
      </c>
      <c r="G384" s="26" t="s">
        <v>950</v>
      </c>
      <c r="H384" s="26" t="s">
        <v>81</v>
      </c>
      <c r="I384" s="26">
        <v>190000</v>
      </c>
      <c r="J384" s="17">
        <v>152000</v>
      </c>
      <c r="K384" s="17">
        <f t="shared" si="10"/>
        <v>4864000</v>
      </c>
      <c r="L384" s="69">
        <f t="shared" si="11"/>
        <v>152000</v>
      </c>
    </row>
    <row r="385" spans="1:12" s="11" customFormat="1" ht="30" customHeight="1">
      <c r="A385" s="20">
        <v>381</v>
      </c>
      <c r="B385" s="32" t="s">
        <v>952</v>
      </c>
      <c r="C385" s="41" t="s">
        <v>953</v>
      </c>
      <c r="D385" s="40" t="s">
        <v>954</v>
      </c>
      <c r="E385" s="20" t="s">
        <v>68</v>
      </c>
      <c r="F385" s="26">
        <v>10</v>
      </c>
      <c r="G385" s="26" t="s">
        <v>955</v>
      </c>
      <c r="H385" s="26" t="s">
        <v>160</v>
      </c>
      <c r="I385" s="26">
        <v>195000</v>
      </c>
      <c r="J385" s="17">
        <v>156000</v>
      </c>
      <c r="K385" s="17">
        <f t="shared" si="10"/>
        <v>1560000</v>
      </c>
      <c r="L385" s="69">
        <f t="shared" si="11"/>
        <v>156000</v>
      </c>
    </row>
    <row r="386" spans="1:12" s="11" customFormat="1">
      <c r="A386" s="20">
        <v>382</v>
      </c>
      <c r="B386" s="32" t="s">
        <v>956</v>
      </c>
      <c r="C386" s="21" t="s">
        <v>957</v>
      </c>
      <c r="D386" s="40"/>
      <c r="E386" s="20" t="s">
        <v>68</v>
      </c>
      <c r="F386" s="26">
        <v>25</v>
      </c>
      <c r="G386" s="26" t="s">
        <v>958</v>
      </c>
      <c r="H386" s="26" t="s">
        <v>15</v>
      </c>
      <c r="I386" s="26">
        <v>189000</v>
      </c>
      <c r="J386" s="17">
        <v>151200</v>
      </c>
      <c r="K386" s="17">
        <f t="shared" ref="K386:K449" si="12">F386*J386</f>
        <v>3780000</v>
      </c>
      <c r="L386" s="69">
        <f t="shared" si="11"/>
        <v>151200</v>
      </c>
    </row>
    <row r="387" spans="1:12" s="11" customFormat="1" ht="126">
      <c r="A387" s="20">
        <v>383</v>
      </c>
      <c r="B387" s="32" t="s">
        <v>959</v>
      </c>
      <c r="C387" s="25" t="s">
        <v>960</v>
      </c>
      <c r="D387" s="25" t="s">
        <v>961</v>
      </c>
      <c r="E387" s="28" t="s">
        <v>435</v>
      </c>
      <c r="F387" s="26">
        <v>20</v>
      </c>
      <c r="G387" s="26" t="s">
        <v>54</v>
      </c>
      <c r="H387" s="26" t="s">
        <v>15</v>
      </c>
      <c r="I387" s="26">
        <v>125000</v>
      </c>
      <c r="J387" s="17">
        <v>100000</v>
      </c>
      <c r="K387" s="17">
        <f t="shared" si="12"/>
        <v>2000000</v>
      </c>
      <c r="L387" s="69">
        <f t="shared" si="11"/>
        <v>100000</v>
      </c>
    </row>
    <row r="388" spans="1:12" s="11" customFormat="1" ht="126">
      <c r="A388" s="20">
        <v>384</v>
      </c>
      <c r="B388" s="32" t="s">
        <v>962</v>
      </c>
      <c r="C388" s="25" t="s">
        <v>963</v>
      </c>
      <c r="D388" s="25" t="s">
        <v>961</v>
      </c>
      <c r="E388" s="28" t="s">
        <v>435</v>
      </c>
      <c r="F388" s="26">
        <v>10</v>
      </c>
      <c r="G388" s="26" t="s">
        <v>54</v>
      </c>
      <c r="H388" s="26" t="s">
        <v>15</v>
      </c>
      <c r="I388" s="26">
        <v>150000</v>
      </c>
      <c r="J388" s="17">
        <v>120000</v>
      </c>
      <c r="K388" s="17">
        <f t="shared" si="12"/>
        <v>1200000</v>
      </c>
      <c r="L388" s="69">
        <f t="shared" si="11"/>
        <v>120000</v>
      </c>
    </row>
    <row r="389" spans="1:12" s="11" customFormat="1" ht="31.5">
      <c r="A389" s="20">
        <v>385</v>
      </c>
      <c r="B389" s="32" t="s">
        <v>964</v>
      </c>
      <c r="C389" s="25" t="s">
        <v>1422</v>
      </c>
      <c r="D389" s="25"/>
      <c r="E389" s="28" t="s">
        <v>965</v>
      </c>
      <c r="F389" s="26">
        <v>1</v>
      </c>
      <c r="G389" s="26"/>
      <c r="H389" s="26" t="s">
        <v>15</v>
      </c>
      <c r="I389" s="26">
        <v>50000</v>
      </c>
      <c r="J389" s="17">
        <v>4600000</v>
      </c>
      <c r="K389" s="17">
        <f t="shared" si="12"/>
        <v>4600000</v>
      </c>
      <c r="L389" s="69">
        <f t="shared" si="11"/>
        <v>40000</v>
      </c>
    </row>
    <row r="390" spans="1:12" s="11" customFormat="1" ht="19.899999999999999" customHeight="1">
      <c r="A390" s="20">
        <v>386</v>
      </c>
      <c r="B390" s="77" t="s">
        <v>966</v>
      </c>
      <c r="C390" s="21" t="s">
        <v>967</v>
      </c>
      <c r="D390" s="21"/>
      <c r="E390" s="20" t="s">
        <v>68</v>
      </c>
      <c r="F390" s="26">
        <v>150</v>
      </c>
      <c r="G390" s="26"/>
      <c r="H390" s="26" t="s">
        <v>15</v>
      </c>
      <c r="I390" s="17">
        <v>140000</v>
      </c>
      <c r="J390" s="17">
        <v>100000</v>
      </c>
      <c r="K390" s="17">
        <f t="shared" si="12"/>
        <v>15000000</v>
      </c>
      <c r="L390" s="69">
        <f t="shared" ref="L390:L453" si="13">I390*80%</f>
        <v>112000</v>
      </c>
    </row>
    <row r="391" spans="1:12" s="11" customFormat="1" ht="19.899999999999999" customHeight="1">
      <c r="A391" s="20">
        <v>387</v>
      </c>
      <c r="B391" s="77"/>
      <c r="C391" s="21" t="s">
        <v>968</v>
      </c>
      <c r="D391" s="21"/>
      <c r="E391" s="20" t="s">
        <v>68</v>
      </c>
      <c r="F391" s="26">
        <v>100</v>
      </c>
      <c r="G391" s="26"/>
      <c r="H391" s="26" t="s">
        <v>15</v>
      </c>
      <c r="I391" s="17">
        <v>135000</v>
      </c>
      <c r="J391" s="17">
        <v>100000</v>
      </c>
      <c r="K391" s="17">
        <f t="shared" si="12"/>
        <v>10000000</v>
      </c>
      <c r="L391" s="69">
        <f t="shared" si="13"/>
        <v>108000</v>
      </c>
    </row>
    <row r="392" spans="1:12" s="11" customFormat="1" ht="19.899999999999999" customHeight="1">
      <c r="A392" s="20">
        <v>388</v>
      </c>
      <c r="B392" s="77"/>
      <c r="C392" s="21" t="s">
        <v>1425</v>
      </c>
      <c r="D392" s="21"/>
      <c r="E392" s="20" t="s">
        <v>68</v>
      </c>
      <c r="F392" s="26">
        <v>50</v>
      </c>
      <c r="G392" s="26"/>
      <c r="H392" s="26" t="s">
        <v>15</v>
      </c>
      <c r="I392" s="17">
        <v>700000</v>
      </c>
      <c r="J392" s="17">
        <v>505000</v>
      </c>
      <c r="K392" s="17">
        <f t="shared" si="12"/>
        <v>25250000</v>
      </c>
      <c r="L392" s="69">
        <f t="shared" si="13"/>
        <v>560000</v>
      </c>
    </row>
    <row r="393" spans="1:12" s="11" customFormat="1" ht="19.899999999999999" customHeight="1">
      <c r="A393" s="20">
        <v>389</v>
      </c>
      <c r="B393" s="77"/>
      <c r="C393" s="21" t="s">
        <v>969</v>
      </c>
      <c r="D393" s="21"/>
      <c r="E393" s="20" t="s">
        <v>68</v>
      </c>
      <c r="F393" s="26">
        <v>50</v>
      </c>
      <c r="G393" s="26"/>
      <c r="H393" s="26" t="s">
        <v>15</v>
      </c>
      <c r="I393" s="17">
        <v>185000</v>
      </c>
      <c r="J393" s="17">
        <v>130000</v>
      </c>
      <c r="K393" s="17">
        <f t="shared" si="12"/>
        <v>6500000</v>
      </c>
      <c r="L393" s="69">
        <f t="shared" si="13"/>
        <v>148000</v>
      </c>
    </row>
    <row r="394" spans="1:12" s="11" customFormat="1" ht="19.899999999999999" customHeight="1">
      <c r="A394" s="20">
        <v>390</v>
      </c>
      <c r="B394" s="77"/>
      <c r="C394" s="59" t="s">
        <v>970</v>
      </c>
      <c r="D394" s="59"/>
      <c r="E394" s="60" t="s">
        <v>68</v>
      </c>
      <c r="F394" s="61">
        <v>25</v>
      </c>
      <c r="G394" s="62"/>
      <c r="H394" s="62" t="s">
        <v>15</v>
      </c>
      <c r="I394" s="63">
        <v>830000</v>
      </c>
      <c r="J394" s="63">
        <v>62000</v>
      </c>
      <c r="K394" s="63">
        <f t="shared" si="12"/>
        <v>1550000</v>
      </c>
      <c r="L394" s="69">
        <f t="shared" si="13"/>
        <v>664000</v>
      </c>
    </row>
    <row r="395" spans="1:12" s="11" customFormat="1" ht="19.899999999999999" customHeight="1">
      <c r="A395" s="20">
        <v>391</v>
      </c>
      <c r="B395" s="77"/>
      <c r="C395" s="21" t="s">
        <v>971</v>
      </c>
      <c r="D395" s="21"/>
      <c r="E395" s="20" t="s">
        <v>68</v>
      </c>
      <c r="F395" s="16">
        <v>200</v>
      </c>
      <c r="G395" s="26"/>
      <c r="H395" s="26" t="s">
        <v>15</v>
      </c>
      <c r="I395" s="17">
        <v>38000</v>
      </c>
      <c r="J395" s="17">
        <v>30400</v>
      </c>
      <c r="K395" s="17">
        <f t="shared" si="12"/>
        <v>6080000</v>
      </c>
      <c r="L395" s="69">
        <f t="shared" si="13"/>
        <v>30400</v>
      </c>
    </row>
    <row r="396" spans="1:12" s="11" customFormat="1" ht="19.899999999999999" customHeight="1">
      <c r="A396" s="20">
        <v>392</v>
      </c>
      <c r="B396" s="77"/>
      <c r="C396" s="21" t="s">
        <v>972</v>
      </c>
      <c r="D396" s="21"/>
      <c r="E396" s="20" t="s">
        <v>68</v>
      </c>
      <c r="F396" s="26">
        <v>42</v>
      </c>
      <c r="G396" s="26"/>
      <c r="H396" s="26" t="s">
        <v>15</v>
      </c>
      <c r="I396" s="17">
        <v>235000</v>
      </c>
      <c r="J396" s="17">
        <v>188000</v>
      </c>
      <c r="K396" s="17">
        <f t="shared" si="12"/>
        <v>7896000</v>
      </c>
      <c r="L396" s="69">
        <f t="shared" si="13"/>
        <v>188000</v>
      </c>
    </row>
    <row r="397" spans="1:12" s="11" customFormat="1" ht="19.899999999999999" customHeight="1">
      <c r="A397" s="20">
        <v>393</v>
      </c>
      <c r="B397" s="77"/>
      <c r="C397" s="21" t="s">
        <v>973</v>
      </c>
      <c r="D397" s="21"/>
      <c r="E397" s="20" t="s">
        <v>68</v>
      </c>
      <c r="F397" s="26">
        <v>200</v>
      </c>
      <c r="G397" s="26"/>
      <c r="H397" s="26" t="s">
        <v>15</v>
      </c>
      <c r="I397" s="17">
        <v>75000</v>
      </c>
      <c r="J397" s="17">
        <v>60000</v>
      </c>
      <c r="K397" s="17">
        <f t="shared" si="12"/>
        <v>12000000</v>
      </c>
      <c r="L397" s="69">
        <f t="shared" si="13"/>
        <v>60000</v>
      </c>
    </row>
    <row r="398" spans="1:12" s="11" customFormat="1" ht="19.899999999999999" customHeight="1">
      <c r="A398" s="20">
        <v>394</v>
      </c>
      <c r="B398" s="77"/>
      <c r="C398" s="21" t="s">
        <v>974</v>
      </c>
      <c r="D398" s="21"/>
      <c r="E398" s="20" t="s">
        <v>68</v>
      </c>
      <c r="F398" s="26">
        <v>12</v>
      </c>
      <c r="G398" s="26"/>
      <c r="H398" s="26" t="s">
        <v>15</v>
      </c>
      <c r="I398" s="17">
        <v>180000</v>
      </c>
      <c r="J398" s="17">
        <v>144000</v>
      </c>
      <c r="K398" s="17">
        <f t="shared" si="12"/>
        <v>1728000</v>
      </c>
      <c r="L398" s="69">
        <f t="shared" si="13"/>
        <v>144000</v>
      </c>
    </row>
    <row r="399" spans="1:12" s="11" customFormat="1" ht="19.899999999999999" customHeight="1">
      <c r="A399" s="20">
        <v>395</v>
      </c>
      <c r="B399" s="77"/>
      <c r="C399" s="25" t="s">
        <v>975</v>
      </c>
      <c r="D399" s="25"/>
      <c r="E399" s="20" t="s">
        <v>68</v>
      </c>
      <c r="F399" s="16">
        <v>4</v>
      </c>
      <c r="G399" s="26"/>
      <c r="H399" s="26" t="s">
        <v>15</v>
      </c>
      <c r="I399" s="17">
        <v>190000</v>
      </c>
      <c r="J399" s="17">
        <v>152000</v>
      </c>
      <c r="K399" s="17">
        <f t="shared" si="12"/>
        <v>608000</v>
      </c>
      <c r="L399" s="69">
        <f t="shared" si="13"/>
        <v>152000</v>
      </c>
    </row>
    <row r="400" spans="1:12" s="11" customFormat="1" ht="19.899999999999999" customHeight="1">
      <c r="A400" s="20">
        <v>396</v>
      </c>
      <c r="B400" s="77"/>
      <c r="C400" s="25" t="s">
        <v>976</v>
      </c>
      <c r="D400" s="25"/>
      <c r="E400" s="20" t="s">
        <v>68</v>
      </c>
      <c r="F400" s="26">
        <v>20</v>
      </c>
      <c r="G400" s="26"/>
      <c r="H400" s="26" t="s">
        <v>15</v>
      </c>
      <c r="I400" s="17">
        <v>145000</v>
      </c>
      <c r="J400" s="17">
        <v>116000</v>
      </c>
      <c r="K400" s="17">
        <f t="shared" si="12"/>
        <v>2320000</v>
      </c>
      <c r="L400" s="69">
        <f t="shared" si="13"/>
        <v>116000</v>
      </c>
    </row>
    <row r="401" spans="1:12" s="11" customFormat="1" ht="19.899999999999999" customHeight="1">
      <c r="A401" s="20">
        <v>397</v>
      </c>
      <c r="B401" s="77" t="s">
        <v>1430</v>
      </c>
      <c r="C401" s="21" t="s">
        <v>977</v>
      </c>
      <c r="D401" s="21"/>
      <c r="E401" s="20" t="s">
        <v>68</v>
      </c>
      <c r="F401" s="26">
        <v>12</v>
      </c>
      <c r="G401" s="26"/>
      <c r="H401" s="26" t="s">
        <v>15</v>
      </c>
      <c r="I401" s="26">
        <v>253000</v>
      </c>
      <c r="J401" s="17">
        <v>202400</v>
      </c>
      <c r="K401" s="17">
        <f t="shared" si="12"/>
        <v>2428800</v>
      </c>
      <c r="L401" s="69">
        <f t="shared" si="13"/>
        <v>202400</v>
      </c>
    </row>
    <row r="402" spans="1:12" s="11" customFormat="1" ht="19.899999999999999" customHeight="1">
      <c r="A402" s="20">
        <v>398</v>
      </c>
      <c r="B402" s="77"/>
      <c r="C402" s="21" t="s">
        <v>978</v>
      </c>
      <c r="D402" s="21"/>
      <c r="E402" s="20" t="s">
        <v>68</v>
      </c>
      <c r="F402" s="26">
        <v>20</v>
      </c>
      <c r="G402" s="26"/>
      <c r="H402" s="26" t="s">
        <v>15</v>
      </c>
      <c r="I402" s="26">
        <v>1100000</v>
      </c>
      <c r="J402" s="17">
        <v>880000</v>
      </c>
      <c r="K402" s="17">
        <f t="shared" si="12"/>
        <v>17600000</v>
      </c>
      <c r="L402" s="69">
        <f t="shared" si="13"/>
        <v>880000</v>
      </c>
    </row>
    <row r="403" spans="1:12" s="11" customFormat="1" ht="19.899999999999999" customHeight="1">
      <c r="A403" s="20">
        <v>399</v>
      </c>
      <c r="B403" s="77"/>
      <c r="C403" s="21" t="s">
        <v>979</v>
      </c>
      <c r="D403" s="21"/>
      <c r="E403" s="20" t="s">
        <v>68</v>
      </c>
      <c r="F403" s="26">
        <v>20</v>
      </c>
      <c r="G403" s="26"/>
      <c r="H403" s="26" t="s">
        <v>15</v>
      </c>
      <c r="I403" s="26">
        <v>900000</v>
      </c>
      <c r="J403" s="17">
        <v>720000</v>
      </c>
      <c r="K403" s="17">
        <f t="shared" si="12"/>
        <v>14400000</v>
      </c>
      <c r="L403" s="69">
        <f t="shared" si="13"/>
        <v>720000</v>
      </c>
    </row>
    <row r="404" spans="1:12" s="11" customFormat="1" ht="19.899999999999999" customHeight="1">
      <c r="A404" s="20">
        <v>400</v>
      </c>
      <c r="B404" s="78" t="s">
        <v>980</v>
      </c>
      <c r="C404" s="21" t="s">
        <v>981</v>
      </c>
      <c r="D404" s="21"/>
      <c r="E404" s="20" t="s">
        <v>312</v>
      </c>
      <c r="F404" s="26">
        <v>10</v>
      </c>
      <c r="G404" s="26"/>
      <c r="H404" s="26" t="s">
        <v>15</v>
      </c>
      <c r="I404" s="26">
        <v>40000</v>
      </c>
      <c r="J404" s="17">
        <v>32000</v>
      </c>
      <c r="K404" s="17">
        <f t="shared" si="12"/>
        <v>320000</v>
      </c>
      <c r="L404" s="69">
        <f t="shared" si="13"/>
        <v>32000</v>
      </c>
    </row>
    <row r="405" spans="1:12" s="11" customFormat="1" ht="19.899999999999999" customHeight="1">
      <c r="A405" s="20">
        <v>401</v>
      </c>
      <c r="B405" s="78"/>
      <c r="C405" s="21" t="s">
        <v>982</v>
      </c>
      <c r="D405" s="21"/>
      <c r="E405" s="20" t="s">
        <v>312</v>
      </c>
      <c r="F405" s="16">
        <v>6</v>
      </c>
      <c r="G405" s="16"/>
      <c r="H405" s="26" t="s">
        <v>15</v>
      </c>
      <c r="I405" s="16">
        <v>30000</v>
      </c>
      <c r="J405" s="17">
        <v>24000</v>
      </c>
      <c r="K405" s="17">
        <f t="shared" si="12"/>
        <v>144000</v>
      </c>
      <c r="L405" s="69">
        <f t="shared" si="13"/>
        <v>24000</v>
      </c>
    </row>
    <row r="406" spans="1:12" s="11" customFormat="1" ht="19.899999999999999" customHeight="1">
      <c r="A406" s="20">
        <v>402</v>
      </c>
      <c r="B406" s="77" t="s">
        <v>1429</v>
      </c>
      <c r="C406" s="21" t="s">
        <v>983</v>
      </c>
      <c r="D406" s="21"/>
      <c r="E406" s="20" t="s">
        <v>13</v>
      </c>
      <c r="F406" s="16">
        <v>24</v>
      </c>
      <c r="G406" s="16"/>
      <c r="H406" s="26" t="s">
        <v>15</v>
      </c>
      <c r="I406" s="16">
        <v>22000</v>
      </c>
      <c r="J406" s="17">
        <v>17600</v>
      </c>
      <c r="K406" s="17">
        <f t="shared" si="12"/>
        <v>422400</v>
      </c>
      <c r="L406" s="69">
        <f t="shared" si="13"/>
        <v>17600</v>
      </c>
    </row>
    <row r="407" spans="1:12" s="11" customFormat="1" ht="19.899999999999999" customHeight="1">
      <c r="A407" s="20">
        <v>403</v>
      </c>
      <c r="B407" s="77"/>
      <c r="C407" s="21" t="s">
        <v>984</v>
      </c>
      <c r="D407" s="21"/>
      <c r="E407" s="20" t="s">
        <v>13</v>
      </c>
      <c r="F407" s="16">
        <v>18</v>
      </c>
      <c r="G407" s="16"/>
      <c r="H407" s="26" t="s">
        <v>15</v>
      </c>
      <c r="I407" s="16">
        <v>34200</v>
      </c>
      <c r="J407" s="17">
        <v>27360</v>
      </c>
      <c r="K407" s="17">
        <f t="shared" si="12"/>
        <v>492480</v>
      </c>
      <c r="L407" s="69">
        <f t="shared" si="13"/>
        <v>27360</v>
      </c>
    </row>
    <row r="408" spans="1:12" s="11" customFormat="1" ht="19.899999999999999" customHeight="1">
      <c r="A408" s="20">
        <v>404</v>
      </c>
      <c r="B408" s="77"/>
      <c r="C408" s="21" t="s">
        <v>985</v>
      </c>
      <c r="D408" s="21"/>
      <c r="E408" s="20" t="s">
        <v>13</v>
      </c>
      <c r="F408" s="16">
        <v>18</v>
      </c>
      <c r="G408" s="16"/>
      <c r="H408" s="26" t="s">
        <v>15</v>
      </c>
      <c r="I408" s="16">
        <v>38500</v>
      </c>
      <c r="J408" s="17">
        <v>30800</v>
      </c>
      <c r="K408" s="17">
        <f t="shared" si="12"/>
        <v>554400</v>
      </c>
      <c r="L408" s="69">
        <f t="shared" si="13"/>
        <v>30800</v>
      </c>
    </row>
    <row r="409" spans="1:12" s="11" customFormat="1" ht="19.899999999999999" customHeight="1">
      <c r="A409" s="20">
        <v>405</v>
      </c>
      <c r="B409" s="77"/>
      <c r="C409" s="21" t="s">
        <v>986</v>
      </c>
      <c r="D409" s="21"/>
      <c r="E409" s="28" t="s">
        <v>13</v>
      </c>
      <c r="F409" s="26">
        <v>6</v>
      </c>
      <c r="G409" s="26"/>
      <c r="H409" s="26" t="s">
        <v>15</v>
      </c>
      <c r="I409" s="16">
        <v>98000</v>
      </c>
      <c r="J409" s="17">
        <v>78400</v>
      </c>
      <c r="K409" s="17">
        <f t="shared" si="12"/>
        <v>470400</v>
      </c>
      <c r="L409" s="69">
        <f t="shared" si="13"/>
        <v>78400</v>
      </c>
    </row>
    <row r="410" spans="1:12" s="11" customFormat="1" ht="19.899999999999999" customHeight="1">
      <c r="A410" s="20">
        <v>406</v>
      </c>
      <c r="B410" s="77"/>
      <c r="C410" s="21" t="s">
        <v>987</v>
      </c>
      <c r="D410" s="21"/>
      <c r="E410" s="20" t="s">
        <v>13</v>
      </c>
      <c r="F410" s="16">
        <v>12</v>
      </c>
      <c r="G410" s="16"/>
      <c r="H410" s="26" t="s">
        <v>15</v>
      </c>
      <c r="I410" s="16">
        <v>138000</v>
      </c>
      <c r="J410" s="17">
        <v>110400</v>
      </c>
      <c r="K410" s="17">
        <f t="shared" si="12"/>
        <v>1324800</v>
      </c>
      <c r="L410" s="69">
        <f t="shared" si="13"/>
        <v>110400</v>
      </c>
    </row>
    <row r="411" spans="1:12" s="11" customFormat="1" ht="19.899999999999999" customHeight="1">
      <c r="A411" s="20">
        <v>407</v>
      </c>
      <c r="B411" s="77"/>
      <c r="C411" s="21" t="s">
        <v>988</v>
      </c>
      <c r="D411" s="21"/>
      <c r="E411" s="20" t="s">
        <v>13</v>
      </c>
      <c r="F411" s="16">
        <v>18</v>
      </c>
      <c r="G411" s="16"/>
      <c r="H411" s="26" t="s">
        <v>15</v>
      </c>
      <c r="I411" s="16">
        <v>125000</v>
      </c>
      <c r="J411" s="17">
        <v>100000</v>
      </c>
      <c r="K411" s="17">
        <f t="shared" si="12"/>
        <v>1800000</v>
      </c>
      <c r="L411" s="69">
        <f t="shared" si="13"/>
        <v>100000</v>
      </c>
    </row>
    <row r="412" spans="1:12" s="11" customFormat="1" ht="19.899999999999999" customHeight="1">
      <c r="A412" s="20">
        <v>408</v>
      </c>
      <c r="B412" s="77"/>
      <c r="C412" s="21" t="s">
        <v>989</v>
      </c>
      <c r="D412" s="21"/>
      <c r="E412" s="20" t="s">
        <v>13</v>
      </c>
      <c r="F412" s="16">
        <v>78</v>
      </c>
      <c r="G412" s="16"/>
      <c r="H412" s="26" t="s">
        <v>15</v>
      </c>
      <c r="I412" s="16">
        <v>205000</v>
      </c>
      <c r="J412" s="17">
        <v>164000</v>
      </c>
      <c r="K412" s="17">
        <f t="shared" si="12"/>
        <v>12792000</v>
      </c>
      <c r="L412" s="69">
        <f t="shared" si="13"/>
        <v>164000</v>
      </c>
    </row>
    <row r="413" spans="1:12" s="11" customFormat="1" ht="19.899999999999999" customHeight="1">
      <c r="A413" s="20">
        <v>409</v>
      </c>
      <c r="B413" s="77"/>
      <c r="C413" s="21" t="s">
        <v>990</v>
      </c>
      <c r="D413" s="21"/>
      <c r="E413" s="28" t="s">
        <v>13</v>
      </c>
      <c r="F413" s="26">
        <v>6</v>
      </c>
      <c r="G413" s="26"/>
      <c r="H413" s="26" t="s">
        <v>15</v>
      </c>
      <c r="I413" s="26">
        <v>335000</v>
      </c>
      <c r="J413" s="17">
        <v>268000</v>
      </c>
      <c r="K413" s="17">
        <f t="shared" si="12"/>
        <v>1608000</v>
      </c>
      <c r="L413" s="69">
        <f t="shared" si="13"/>
        <v>268000</v>
      </c>
    </row>
    <row r="414" spans="1:12">
      <c r="A414" s="20">
        <v>410</v>
      </c>
      <c r="B414" s="46" t="s">
        <v>991</v>
      </c>
      <c r="C414" s="47" t="s">
        <v>992</v>
      </c>
      <c r="D414" s="47"/>
      <c r="E414" s="28" t="s">
        <v>13</v>
      </c>
      <c r="F414" s="45">
        <v>12</v>
      </c>
      <c r="G414" s="45"/>
      <c r="H414" s="26" t="s">
        <v>15</v>
      </c>
      <c r="I414" s="45">
        <v>25600</v>
      </c>
      <c r="J414" s="17">
        <v>20480</v>
      </c>
      <c r="K414" s="17">
        <f t="shared" si="12"/>
        <v>245760</v>
      </c>
      <c r="L414" s="69">
        <f t="shared" si="13"/>
        <v>20480</v>
      </c>
    </row>
    <row r="415" spans="1:12" ht="15.75" customHeight="1">
      <c r="A415" s="20">
        <v>411</v>
      </c>
      <c r="B415" s="21" t="s">
        <v>993</v>
      </c>
      <c r="C415" s="21" t="s">
        <v>994</v>
      </c>
      <c r="D415" s="21"/>
      <c r="E415" s="28" t="s">
        <v>13</v>
      </c>
      <c r="F415" s="16">
        <v>180</v>
      </c>
      <c r="G415" s="16"/>
      <c r="H415" s="26" t="s">
        <v>15</v>
      </c>
      <c r="I415" s="16">
        <v>23500</v>
      </c>
      <c r="J415" s="17">
        <v>18800</v>
      </c>
      <c r="K415" s="17">
        <f t="shared" si="12"/>
        <v>3384000</v>
      </c>
      <c r="L415" s="69">
        <f t="shared" si="13"/>
        <v>18800</v>
      </c>
    </row>
    <row r="416" spans="1:12" ht="15.75" customHeight="1">
      <c r="A416" s="20">
        <v>412</v>
      </c>
      <c r="B416" s="21" t="s">
        <v>995</v>
      </c>
      <c r="C416" s="21" t="s">
        <v>996</v>
      </c>
      <c r="D416" s="21"/>
      <c r="E416" s="28" t="s">
        <v>13</v>
      </c>
      <c r="F416" s="16">
        <v>192</v>
      </c>
      <c r="G416" s="16"/>
      <c r="H416" s="26" t="s">
        <v>15</v>
      </c>
      <c r="I416" s="16">
        <v>20000</v>
      </c>
      <c r="J416" s="17">
        <v>16000</v>
      </c>
      <c r="K416" s="17">
        <f t="shared" si="12"/>
        <v>3072000</v>
      </c>
      <c r="L416" s="69">
        <f t="shared" si="13"/>
        <v>16000</v>
      </c>
    </row>
    <row r="417" spans="1:12" s="11" customFormat="1" ht="19.899999999999999" customHeight="1">
      <c r="A417" s="20">
        <v>413</v>
      </c>
      <c r="B417" s="77" t="s">
        <v>1428</v>
      </c>
      <c r="C417" s="21" t="s">
        <v>997</v>
      </c>
      <c r="D417" s="21"/>
      <c r="E417" s="28" t="s">
        <v>68</v>
      </c>
      <c r="F417" s="26">
        <f>96+128+128</f>
        <v>352</v>
      </c>
      <c r="G417" s="26"/>
      <c r="H417" s="26" t="s">
        <v>15</v>
      </c>
      <c r="I417" s="17">
        <v>60000</v>
      </c>
      <c r="J417" s="17">
        <v>48000</v>
      </c>
      <c r="K417" s="17">
        <f t="shared" si="12"/>
        <v>16896000</v>
      </c>
      <c r="L417" s="69">
        <f t="shared" si="13"/>
        <v>48000</v>
      </c>
    </row>
    <row r="418" spans="1:12" s="11" customFormat="1" ht="19.899999999999999" customHeight="1">
      <c r="A418" s="20">
        <v>414</v>
      </c>
      <c r="B418" s="77"/>
      <c r="C418" s="25" t="s">
        <v>998</v>
      </c>
      <c r="D418" s="25"/>
      <c r="E418" s="20" t="s">
        <v>477</v>
      </c>
      <c r="F418" s="26">
        <v>20</v>
      </c>
      <c r="G418" s="26"/>
      <c r="H418" s="26" t="s">
        <v>15</v>
      </c>
      <c r="I418" s="17">
        <v>35000</v>
      </c>
      <c r="J418" s="17">
        <v>28000</v>
      </c>
      <c r="K418" s="17">
        <f t="shared" si="12"/>
        <v>560000</v>
      </c>
      <c r="L418" s="69">
        <f t="shared" si="13"/>
        <v>28000</v>
      </c>
    </row>
    <row r="419" spans="1:12" s="11" customFormat="1" ht="19.899999999999999" customHeight="1">
      <c r="A419" s="20">
        <v>415</v>
      </c>
      <c r="B419" s="77"/>
      <c r="C419" s="21" t="s">
        <v>999</v>
      </c>
      <c r="D419" s="21"/>
      <c r="E419" s="28" t="s">
        <v>68</v>
      </c>
      <c r="F419" s="16">
        <v>24</v>
      </c>
      <c r="G419" s="26"/>
      <c r="H419" s="26" t="s">
        <v>15</v>
      </c>
      <c r="I419" s="17">
        <v>20000</v>
      </c>
      <c r="J419" s="17">
        <v>16000</v>
      </c>
      <c r="K419" s="17">
        <f t="shared" si="12"/>
        <v>384000</v>
      </c>
      <c r="L419" s="69">
        <f t="shared" si="13"/>
        <v>16000</v>
      </c>
    </row>
    <row r="420" spans="1:12" s="11" customFormat="1" ht="19.899999999999999" customHeight="1">
      <c r="A420" s="20">
        <v>416</v>
      </c>
      <c r="B420" s="77"/>
      <c r="C420" s="21" t="s">
        <v>1000</v>
      </c>
      <c r="D420" s="21"/>
      <c r="E420" s="28" t="s">
        <v>68</v>
      </c>
      <c r="F420" s="16">
        <v>24</v>
      </c>
      <c r="G420" s="26"/>
      <c r="H420" s="26" t="s">
        <v>15</v>
      </c>
      <c r="I420" s="17">
        <v>10000</v>
      </c>
      <c r="J420" s="17">
        <v>8000</v>
      </c>
      <c r="K420" s="17">
        <f t="shared" si="12"/>
        <v>192000</v>
      </c>
      <c r="L420" s="69">
        <f t="shared" si="13"/>
        <v>8000</v>
      </c>
    </row>
    <row r="421" spans="1:12" s="11" customFormat="1" ht="19.899999999999999" customHeight="1">
      <c r="A421" s="20">
        <v>417</v>
      </c>
      <c r="B421" s="77"/>
      <c r="C421" s="21" t="s">
        <v>1001</v>
      </c>
      <c r="D421" s="21"/>
      <c r="E421" s="28" t="s">
        <v>68</v>
      </c>
      <c r="F421" s="16">
        <v>5</v>
      </c>
      <c r="G421" s="26"/>
      <c r="H421" s="26" t="s">
        <v>15</v>
      </c>
      <c r="I421" s="17">
        <v>450000</v>
      </c>
      <c r="J421" s="17">
        <v>220000</v>
      </c>
      <c r="K421" s="17">
        <f t="shared" si="12"/>
        <v>1100000</v>
      </c>
      <c r="L421" s="69">
        <f t="shared" si="13"/>
        <v>360000</v>
      </c>
    </row>
    <row r="422" spans="1:12" s="11" customFormat="1" ht="19.899999999999999" customHeight="1">
      <c r="A422" s="20">
        <v>418</v>
      </c>
      <c r="B422" s="77"/>
      <c r="C422" s="21" t="s">
        <v>1002</v>
      </c>
      <c r="D422" s="21"/>
      <c r="E422" s="28" t="s">
        <v>68</v>
      </c>
      <c r="F422" s="16">
        <v>12</v>
      </c>
      <c r="G422" s="26"/>
      <c r="H422" s="26" t="s">
        <v>15</v>
      </c>
      <c r="I422" s="17">
        <v>335000</v>
      </c>
      <c r="J422" s="17">
        <v>268000</v>
      </c>
      <c r="K422" s="17">
        <f t="shared" si="12"/>
        <v>3216000</v>
      </c>
      <c r="L422" s="69">
        <f t="shared" si="13"/>
        <v>268000</v>
      </c>
    </row>
    <row r="423" spans="1:12" s="11" customFormat="1" ht="19.899999999999999" customHeight="1">
      <c r="A423" s="20">
        <v>419</v>
      </c>
      <c r="B423" s="77"/>
      <c r="C423" s="21" t="s">
        <v>1003</v>
      </c>
      <c r="D423" s="21"/>
      <c r="E423" s="28" t="s">
        <v>68</v>
      </c>
      <c r="F423" s="26">
        <v>40</v>
      </c>
      <c r="G423" s="26"/>
      <c r="H423" s="26" t="s">
        <v>15</v>
      </c>
      <c r="I423" s="17">
        <v>60000</v>
      </c>
      <c r="J423" s="17">
        <v>48000</v>
      </c>
      <c r="K423" s="17">
        <f t="shared" si="12"/>
        <v>1920000</v>
      </c>
      <c r="L423" s="69">
        <f t="shared" si="13"/>
        <v>48000</v>
      </c>
    </row>
    <row r="424" spans="1:12" s="11" customFormat="1" ht="19.899999999999999" customHeight="1">
      <c r="A424" s="20">
        <v>420</v>
      </c>
      <c r="B424" s="77"/>
      <c r="C424" s="21" t="s">
        <v>1004</v>
      </c>
      <c r="D424" s="21"/>
      <c r="E424" s="28" t="s">
        <v>68</v>
      </c>
      <c r="F424" s="26">
        <v>20</v>
      </c>
      <c r="G424" s="26"/>
      <c r="H424" s="26" t="s">
        <v>15</v>
      </c>
      <c r="I424" s="17">
        <v>120000</v>
      </c>
      <c r="J424" s="17">
        <v>96000</v>
      </c>
      <c r="K424" s="17">
        <f t="shared" si="12"/>
        <v>1920000</v>
      </c>
      <c r="L424" s="69">
        <f t="shared" si="13"/>
        <v>96000</v>
      </c>
    </row>
    <row r="425" spans="1:12" s="11" customFormat="1" ht="19.899999999999999" customHeight="1">
      <c r="A425" s="20">
        <v>421</v>
      </c>
      <c r="B425" s="77"/>
      <c r="C425" s="21" t="s">
        <v>1005</v>
      </c>
      <c r="D425" s="21"/>
      <c r="E425" s="28" t="s">
        <v>68</v>
      </c>
      <c r="F425" s="26">
        <v>40</v>
      </c>
      <c r="G425" s="26"/>
      <c r="H425" s="26" t="s">
        <v>15</v>
      </c>
      <c r="I425" s="17">
        <v>50000</v>
      </c>
      <c r="J425" s="17">
        <v>40000</v>
      </c>
      <c r="K425" s="17">
        <f t="shared" si="12"/>
        <v>1600000</v>
      </c>
      <c r="L425" s="69">
        <f t="shared" si="13"/>
        <v>40000</v>
      </c>
    </row>
    <row r="426" spans="1:12" s="11" customFormat="1" ht="19.899999999999999" customHeight="1">
      <c r="A426" s="20">
        <v>422</v>
      </c>
      <c r="B426" s="77"/>
      <c r="C426" s="21" t="s">
        <v>1006</v>
      </c>
      <c r="D426" s="21"/>
      <c r="E426" s="28" t="s">
        <v>68</v>
      </c>
      <c r="F426" s="26">
        <v>20</v>
      </c>
      <c r="G426" s="26"/>
      <c r="H426" s="26" t="s">
        <v>15</v>
      </c>
      <c r="I426" s="17">
        <v>20000</v>
      </c>
      <c r="J426" s="17">
        <v>16000</v>
      </c>
      <c r="K426" s="17">
        <f t="shared" si="12"/>
        <v>320000</v>
      </c>
      <c r="L426" s="69">
        <f t="shared" si="13"/>
        <v>16000</v>
      </c>
    </row>
    <row r="427" spans="1:12" s="11" customFormat="1" ht="19.899999999999999" customHeight="1">
      <c r="A427" s="20">
        <v>423</v>
      </c>
      <c r="B427" s="77"/>
      <c r="C427" s="25" t="s">
        <v>1007</v>
      </c>
      <c r="D427" s="25"/>
      <c r="E427" s="28" t="s">
        <v>68</v>
      </c>
      <c r="F427" s="16">
        <v>30</v>
      </c>
      <c r="G427" s="26"/>
      <c r="H427" s="26" t="s">
        <v>15</v>
      </c>
      <c r="I427" s="17">
        <v>22000</v>
      </c>
      <c r="J427" s="17">
        <v>17600</v>
      </c>
      <c r="K427" s="17">
        <f t="shared" si="12"/>
        <v>528000</v>
      </c>
      <c r="L427" s="69">
        <f t="shared" si="13"/>
        <v>17600</v>
      </c>
    </row>
    <row r="428" spans="1:12" s="11" customFormat="1" ht="19.899999999999999" customHeight="1">
      <c r="A428" s="20">
        <v>424</v>
      </c>
      <c r="B428" s="77"/>
      <c r="C428" s="21" t="s">
        <v>1008</v>
      </c>
      <c r="D428" s="21"/>
      <c r="E428" s="28" t="s">
        <v>68</v>
      </c>
      <c r="F428" s="26">
        <v>12</v>
      </c>
      <c r="G428" s="26"/>
      <c r="H428" s="26" t="s">
        <v>15</v>
      </c>
      <c r="I428" s="17">
        <v>60000</v>
      </c>
      <c r="J428" s="17">
        <v>48000</v>
      </c>
      <c r="K428" s="17">
        <f t="shared" si="12"/>
        <v>576000</v>
      </c>
      <c r="L428" s="69">
        <f t="shared" si="13"/>
        <v>48000</v>
      </c>
    </row>
    <row r="429" spans="1:12" s="11" customFormat="1" ht="19.899999999999999" customHeight="1">
      <c r="A429" s="20">
        <v>425</v>
      </c>
      <c r="B429" s="78" t="s">
        <v>1009</v>
      </c>
      <c r="C429" s="21" t="s">
        <v>1010</v>
      </c>
      <c r="D429" s="21"/>
      <c r="E429" s="28" t="s">
        <v>1432</v>
      </c>
      <c r="F429" s="16">
        <v>20</v>
      </c>
      <c r="G429" s="16" t="s">
        <v>1011</v>
      </c>
      <c r="H429" s="26" t="s">
        <v>15</v>
      </c>
      <c r="I429" s="16">
        <v>95000</v>
      </c>
      <c r="J429" s="17">
        <v>76000</v>
      </c>
      <c r="K429" s="17">
        <f t="shared" si="12"/>
        <v>1520000</v>
      </c>
      <c r="L429" s="69">
        <f t="shared" si="13"/>
        <v>76000</v>
      </c>
    </row>
    <row r="430" spans="1:12" s="11" customFormat="1" ht="19.899999999999999" customHeight="1">
      <c r="A430" s="20">
        <v>426</v>
      </c>
      <c r="B430" s="78"/>
      <c r="C430" s="21" t="s">
        <v>1012</v>
      </c>
      <c r="D430" s="21"/>
      <c r="E430" s="28" t="s">
        <v>1432</v>
      </c>
      <c r="F430" s="16">
        <v>50</v>
      </c>
      <c r="G430" s="16" t="s">
        <v>1011</v>
      </c>
      <c r="H430" s="26" t="s">
        <v>15</v>
      </c>
      <c r="I430" s="16">
        <v>100000</v>
      </c>
      <c r="J430" s="17">
        <v>80000</v>
      </c>
      <c r="K430" s="17">
        <f t="shared" si="12"/>
        <v>4000000</v>
      </c>
      <c r="L430" s="69">
        <f t="shared" si="13"/>
        <v>80000</v>
      </c>
    </row>
    <row r="431" spans="1:12" s="11" customFormat="1" ht="19.899999999999999" customHeight="1">
      <c r="A431" s="20">
        <v>427</v>
      </c>
      <c r="B431" s="78"/>
      <c r="C431" s="21" t="s">
        <v>1013</v>
      </c>
      <c r="D431" s="21"/>
      <c r="E431" s="28" t="s">
        <v>1432</v>
      </c>
      <c r="F431" s="16">
        <v>20</v>
      </c>
      <c r="G431" s="16" t="s">
        <v>1011</v>
      </c>
      <c r="H431" s="26" t="s">
        <v>15</v>
      </c>
      <c r="I431" s="16">
        <v>110000</v>
      </c>
      <c r="J431" s="17">
        <v>88000</v>
      </c>
      <c r="K431" s="17">
        <f t="shared" si="12"/>
        <v>1760000</v>
      </c>
      <c r="L431" s="69">
        <f t="shared" si="13"/>
        <v>88000</v>
      </c>
    </row>
    <row r="432" spans="1:12" s="11" customFormat="1" ht="19.899999999999999" customHeight="1">
      <c r="A432" s="20">
        <v>428</v>
      </c>
      <c r="B432" s="78"/>
      <c r="C432" s="21" t="s">
        <v>1014</v>
      </c>
      <c r="D432" s="21"/>
      <c r="E432" s="28" t="s">
        <v>1432</v>
      </c>
      <c r="F432" s="16">
        <v>10</v>
      </c>
      <c r="G432" s="16" t="s">
        <v>1011</v>
      </c>
      <c r="H432" s="26" t="s">
        <v>15</v>
      </c>
      <c r="I432" s="16">
        <v>125000</v>
      </c>
      <c r="J432" s="17">
        <v>100000</v>
      </c>
      <c r="K432" s="17">
        <f t="shared" si="12"/>
        <v>1000000</v>
      </c>
      <c r="L432" s="69">
        <f t="shared" si="13"/>
        <v>100000</v>
      </c>
    </row>
    <row r="433" spans="1:12" s="11" customFormat="1" ht="19.899999999999999" customHeight="1">
      <c r="A433" s="20">
        <v>429</v>
      </c>
      <c r="B433" s="77" t="s">
        <v>1428</v>
      </c>
      <c r="C433" s="21" t="s">
        <v>1015</v>
      </c>
      <c r="D433" s="48"/>
      <c r="E433" s="28" t="s">
        <v>418</v>
      </c>
      <c r="F433" s="26">
        <v>283</v>
      </c>
      <c r="G433" s="26"/>
      <c r="H433" s="26" t="s">
        <v>15</v>
      </c>
      <c r="I433" s="26">
        <v>36000</v>
      </c>
      <c r="J433" s="17">
        <v>25000</v>
      </c>
      <c r="K433" s="17">
        <f t="shared" si="12"/>
        <v>7075000</v>
      </c>
      <c r="L433" s="69">
        <f t="shared" si="13"/>
        <v>28800</v>
      </c>
    </row>
    <row r="434" spans="1:12" s="11" customFormat="1" ht="19.899999999999999" customHeight="1">
      <c r="A434" s="20">
        <v>430</v>
      </c>
      <c r="B434" s="77"/>
      <c r="C434" s="21" t="s">
        <v>1016</v>
      </c>
      <c r="D434" s="21"/>
      <c r="E434" s="28" t="s">
        <v>418</v>
      </c>
      <c r="F434" s="26">
        <v>377</v>
      </c>
      <c r="G434" s="26"/>
      <c r="H434" s="26" t="s">
        <v>15</v>
      </c>
      <c r="I434" s="26">
        <v>36000</v>
      </c>
      <c r="J434" s="17">
        <v>25000</v>
      </c>
      <c r="K434" s="17">
        <f t="shared" si="12"/>
        <v>9425000</v>
      </c>
      <c r="L434" s="69">
        <f t="shared" si="13"/>
        <v>28800</v>
      </c>
    </row>
    <row r="435" spans="1:12" s="11" customFormat="1" ht="19.899999999999999" customHeight="1">
      <c r="A435" s="20">
        <v>431</v>
      </c>
      <c r="B435" s="77"/>
      <c r="C435" s="21" t="s">
        <v>1017</v>
      </c>
      <c r="D435" s="21"/>
      <c r="E435" s="28" t="s">
        <v>418</v>
      </c>
      <c r="F435" s="26">
        <v>1413</v>
      </c>
      <c r="G435" s="26"/>
      <c r="H435" s="26" t="s">
        <v>15</v>
      </c>
      <c r="I435" s="26">
        <v>36000</v>
      </c>
      <c r="J435" s="17">
        <v>25000</v>
      </c>
      <c r="K435" s="17">
        <f t="shared" si="12"/>
        <v>35325000</v>
      </c>
      <c r="L435" s="69">
        <f t="shared" si="13"/>
        <v>28800</v>
      </c>
    </row>
    <row r="436" spans="1:12" s="11" customFormat="1" ht="19.899999999999999" customHeight="1">
      <c r="A436" s="20">
        <v>432</v>
      </c>
      <c r="B436" s="77"/>
      <c r="C436" s="21" t="s">
        <v>1018</v>
      </c>
      <c r="D436" s="21"/>
      <c r="E436" s="28" t="s">
        <v>418</v>
      </c>
      <c r="F436" s="26">
        <v>424</v>
      </c>
      <c r="G436" s="26"/>
      <c r="H436" s="26" t="s">
        <v>15</v>
      </c>
      <c r="I436" s="26">
        <v>36000</v>
      </c>
      <c r="J436" s="17">
        <v>25000</v>
      </c>
      <c r="K436" s="17">
        <f t="shared" si="12"/>
        <v>10600000</v>
      </c>
      <c r="L436" s="69">
        <f t="shared" si="13"/>
        <v>28800</v>
      </c>
    </row>
    <row r="437" spans="1:12" s="11" customFormat="1" ht="19.899999999999999" customHeight="1">
      <c r="A437" s="20">
        <v>433</v>
      </c>
      <c r="B437" s="77"/>
      <c r="C437" s="21" t="s">
        <v>1019</v>
      </c>
      <c r="D437" s="21"/>
      <c r="E437" s="28" t="s">
        <v>418</v>
      </c>
      <c r="F437" s="26">
        <v>565</v>
      </c>
      <c r="G437" s="26"/>
      <c r="H437" s="26" t="s">
        <v>15</v>
      </c>
      <c r="I437" s="26">
        <v>36000</v>
      </c>
      <c r="J437" s="17">
        <v>25000</v>
      </c>
      <c r="K437" s="17">
        <f t="shared" si="12"/>
        <v>14125000</v>
      </c>
      <c r="L437" s="69">
        <f t="shared" si="13"/>
        <v>28800</v>
      </c>
    </row>
    <row r="438" spans="1:12" s="11" customFormat="1" ht="19.899999999999999" customHeight="1">
      <c r="A438" s="20">
        <v>434</v>
      </c>
      <c r="B438" s="77"/>
      <c r="C438" s="21" t="s">
        <v>1020</v>
      </c>
      <c r="D438" s="21"/>
      <c r="E438" s="20" t="s">
        <v>418</v>
      </c>
      <c r="F438" s="16">
        <v>2826</v>
      </c>
      <c r="G438" s="16"/>
      <c r="H438" s="26" t="s">
        <v>15</v>
      </c>
      <c r="I438" s="26">
        <v>36000</v>
      </c>
      <c r="J438" s="17">
        <v>25000</v>
      </c>
      <c r="K438" s="17">
        <f t="shared" si="12"/>
        <v>70650000</v>
      </c>
      <c r="L438" s="69">
        <f t="shared" si="13"/>
        <v>28800</v>
      </c>
    </row>
    <row r="439" spans="1:12" s="11" customFormat="1" ht="19.899999999999999" customHeight="1">
      <c r="A439" s="20">
        <v>435</v>
      </c>
      <c r="B439" s="77"/>
      <c r="C439" s="21" t="s">
        <v>1021</v>
      </c>
      <c r="D439" s="21"/>
      <c r="E439" s="28" t="s">
        <v>418</v>
      </c>
      <c r="F439" s="16">
        <v>471</v>
      </c>
      <c r="G439" s="16"/>
      <c r="H439" s="26" t="s">
        <v>15</v>
      </c>
      <c r="I439" s="26">
        <v>36000</v>
      </c>
      <c r="J439" s="17">
        <v>25000</v>
      </c>
      <c r="K439" s="17">
        <f t="shared" si="12"/>
        <v>11775000</v>
      </c>
      <c r="L439" s="69">
        <f t="shared" si="13"/>
        <v>28800</v>
      </c>
    </row>
    <row r="440" spans="1:12" s="11" customFormat="1" ht="19.899999999999999" customHeight="1">
      <c r="A440" s="20">
        <v>436</v>
      </c>
      <c r="B440" s="77"/>
      <c r="C440" s="21" t="s">
        <v>1022</v>
      </c>
      <c r="D440" s="21"/>
      <c r="E440" s="28" t="s">
        <v>418</v>
      </c>
      <c r="F440" s="16">
        <v>471</v>
      </c>
      <c r="G440" s="16"/>
      <c r="H440" s="26" t="s">
        <v>15</v>
      </c>
      <c r="I440" s="26">
        <v>36000</v>
      </c>
      <c r="J440" s="17">
        <v>25000</v>
      </c>
      <c r="K440" s="17">
        <f t="shared" si="12"/>
        <v>11775000</v>
      </c>
      <c r="L440" s="69">
        <f t="shared" si="13"/>
        <v>28800</v>
      </c>
    </row>
    <row r="441" spans="1:12" s="11" customFormat="1" ht="19.899999999999999" customHeight="1">
      <c r="A441" s="20">
        <v>437</v>
      </c>
      <c r="B441" s="78" t="s">
        <v>1023</v>
      </c>
      <c r="C441" s="21" t="s">
        <v>1024</v>
      </c>
      <c r="D441" s="21"/>
      <c r="E441" s="28" t="s">
        <v>13</v>
      </c>
      <c r="F441" s="26">
        <v>18</v>
      </c>
      <c r="G441" s="26"/>
      <c r="H441" s="26" t="s">
        <v>15</v>
      </c>
      <c r="I441" s="26">
        <v>30000</v>
      </c>
      <c r="J441" s="17">
        <v>24000</v>
      </c>
      <c r="K441" s="17">
        <f t="shared" si="12"/>
        <v>432000</v>
      </c>
      <c r="L441" s="69">
        <f t="shared" si="13"/>
        <v>24000</v>
      </c>
    </row>
    <row r="442" spans="1:12" s="11" customFormat="1" ht="19.899999999999999" customHeight="1">
      <c r="A442" s="20">
        <v>438</v>
      </c>
      <c r="B442" s="78"/>
      <c r="C442" s="21" t="s">
        <v>1025</v>
      </c>
      <c r="D442" s="21"/>
      <c r="E442" s="20" t="s">
        <v>13</v>
      </c>
      <c r="F442" s="16">
        <v>24</v>
      </c>
      <c r="G442" s="16"/>
      <c r="H442" s="26" t="s">
        <v>15</v>
      </c>
      <c r="I442" s="16">
        <v>50000</v>
      </c>
      <c r="J442" s="17">
        <v>40000</v>
      </c>
      <c r="K442" s="17">
        <f t="shared" si="12"/>
        <v>960000</v>
      </c>
      <c r="L442" s="69">
        <f t="shared" si="13"/>
        <v>40000</v>
      </c>
    </row>
    <row r="443" spans="1:12" s="11" customFormat="1" ht="19.899999999999999" customHeight="1">
      <c r="A443" s="20">
        <v>439</v>
      </c>
      <c r="B443" s="78"/>
      <c r="C443" s="21" t="s">
        <v>1026</v>
      </c>
      <c r="D443" s="21"/>
      <c r="E443" s="28" t="s">
        <v>13</v>
      </c>
      <c r="F443" s="26">
        <v>12</v>
      </c>
      <c r="G443" s="26"/>
      <c r="H443" s="26" t="s">
        <v>15</v>
      </c>
      <c r="I443" s="26">
        <v>80000</v>
      </c>
      <c r="J443" s="17">
        <v>64000</v>
      </c>
      <c r="K443" s="17">
        <f t="shared" si="12"/>
        <v>768000</v>
      </c>
      <c r="L443" s="69">
        <f t="shared" si="13"/>
        <v>64000</v>
      </c>
    </row>
    <row r="444" spans="1:12" s="11" customFormat="1" ht="19.899999999999999" customHeight="1">
      <c r="A444" s="20">
        <v>440</v>
      </c>
      <c r="B444" s="78" t="s">
        <v>1427</v>
      </c>
      <c r="C444" s="21" t="s">
        <v>1027</v>
      </c>
      <c r="D444" s="21"/>
      <c r="E444" s="20" t="s">
        <v>13</v>
      </c>
      <c r="F444" s="16">
        <v>12</v>
      </c>
      <c r="G444" s="16"/>
      <c r="H444" s="26" t="s">
        <v>15</v>
      </c>
      <c r="I444" s="16">
        <v>61000</v>
      </c>
      <c r="J444" s="17">
        <v>48800</v>
      </c>
      <c r="K444" s="17">
        <f t="shared" si="12"/>
        <v>585600</v>
      </c>
      <c r="L444" s="69">
        <f t="shared" si="13"/>
        <v>48800</v>
      </c>
    </row>
    <row r="445" spans="1:12" s="11" customFormat="1" ht="19.899999999999999" customHeight="1">
      <c r="A445" s="20">
        <v>441</v>
      </c>
      <c r="B445" s="78"/>
      <c r="C445" s="21" t="s">
        <v>1028</v>
      </c>
      <c r="D445" s="21"/>
      <c r="E445" s="28" t="s">
        <v>13</v>
      </c>
      <c r="F445" s="26">
        <v>30</v>
      </c>
      <c r="G445" s="26"/>
      <c r="H445" s="26" t="s">
        <v>15</v>
      </c>
      <c r="I445" s="26">
        <f>I444*4</f>
        <v>244000</v>
      </c>
      <c r="J445" s="17">
        <v>195200</v>
      </c>
      <c r="K445" s="17">
        <f t="shared" si="12"/>
        <v>5856000</v>
      </c>
      <c r="L445" s="69">
        <f t="shared" si="13"/>
        <v>195200</v>
      </c>
    </row>
    <row r="446" spans="1:12" s="11" customFormat="1" ht="19.899999999999999" customHeight="1">
      <c r="A446" s="20">
        <v>442</v>
      </c>
      <c r="B446" s="78"/>
      <c r="C446" s="21" t="s">
        <v>1029</v>
      </c>
      <c r="D446" s="21"/>
      <c r="E446" s="28" t="s">
        <v>13</v>
      </c>
      <c r="F446" s="26">
        <v>12</v>
      </c>
      <c r="G446" s="26"/>
      <c r="H446" s="26" t="s">
        <v>15</v>
      </c>
      <c r="I446" s="26">
        <f>I445*2</f>
        <v>488000</v>
      </c>
      <c r="J446" s="17">
        <v>390400</v>
      </c>
      <c r="K446" s="17">
        <f t="shared" si="12"/>
        <v>4684800</v>
      </c>
      <c r="L446" s="69">
        <f t="shared" si="13"/>
        <v>390400</v>
      </c>
    </row>
    <row r="447" spans="1:12" s="11" customFormat="1" ht="19.899999999999999" customHeight="1">
      <c r="A447" s="20">
        <v>443</v>
      </c>
      <c r="B447" s="78"/>
      <c r="C447" s="21" t="s">
        <v>1030</v>
      </c>
      <c r="D447" s="21"/>
      <c r="E447" s="28" t="s">
        <v>13</v>
      </c>
      <c r="F447" s="16">
        <v>6</v>
      </c>
      <c r="G447" s="16"/>
      <c r="H447" s="26" t="s">
        <v>15</v>
      </c>
      <c r="I447" s="16">
        <v>500000</v>
      </c>
      <c r="J447" s="17">
        <v>400000</v>
      </c>
      <c r="K447" s="17">
        <f t="shared" si="12"/>
        <v>2400000</v>
      </c>
      <c r="L447" s="69">
        <f t="shared" si="13"/>
        <v>400000</v>
      </c>
    </row>
    <row r="448" spans="1:12" s="11" customFormat="1" ht="19.899999999999999" customHeight="1">
      <c r="A448" s="20">
        <v>444</v>
      </c>
      <c r="B448" s="78"/>
      <c r="C448" s="21" t="s">
        <v>1031</v>
      </c>
      <c r="D448" s="21"/>
      <c r="E448" s="28" t="s">
        <v>13</v>
      </c>
      <c r="F448" s="16">
        <v>2</v>
      </c>
      <c r="G448" s="16"/>
      <c r="H448" s="26" t="s">
        <v>15</v>
      </c>
      <c r="I448" s="16">
        <v>823000</v>
      </c>
      <c r="J448" s="17">
        <v>658400</v>
      </c>
      <c r="K448" s="17">
        <f t="shared" si="12"/>
        <v>1316800</v>
      </c>
      <c r="L448" s="69">
        <f t="shared" si="13"/>
        <v>658400</v>
      </c>
    </row>
    <row r="449" spans="1:12" s="11" customFormat="1" ht="19.899999999999999" customHeight="1">
      <c r="A449" s="20">
        <v>445</v>
      </c>
      <c r="B449" s="77" t="s">
        <v>1427</v>
      </c>
      <c r="C449" s="21" t="s">
        <v>1032</v>
      </c>
      <c r="D449" s="21"/>
      <c r="E449" s="28" t="s">
        <v>68</v>
      </c>
      <c r="F449" s="26">
        <v>50</v>
      </c>
      <c r="G449" s="26"/>
      <c r="H449" s="26" t="s">
        <v>15</v>
      </c>
      <c r="I449" s="17">
        <v>10000</v>
      </c>
      <c r="J449" s="17">
        <v>8000</v>
      </c>
      <c r="K449" s="17">
        <f t="shared" si="12"/>
        <v>400000</v>
      </c>
      <c r="L449" s="69">
        <f t="shared" si="13"/>
        <v>8000</v>
      </c>
    </row>
    <row r="450" spans="1:12" s="11" customFormat="1" ht="19.899999999999999" customHeight="1">
      <c r="A450" s="20">
        <v>446</v>
      </c>
      <c r="B450" s="77"/>
      <c r="C450" s="21" t="s">
        <v>1033</v>
      </c>
      <c r="D450" s="21"/>
      <c r="E450" s="28" t="s">
        <v>68</v>
      </c>
      <c r="F450" s="26">
        <v>50</v>
      </c>
      <c r="G450" s="26"/>
      <c r="H450" s="26" t="s">
        <v>15</v>
      </c>
      <c r="I450" s="17">
        <v>15000</v>
      </c>
      <c r="J450" s="17">
        <v>12000</v>
      </c>
      <c r="K450" s="17">
        <f t="shared" ref="K450:K513" si="14">F450*J450</f>
        <v>600000</v>
      </c>
      <c r="L450" s="69">
        <f t="shared" si="13"/>
        <v>12000</v>
      </c>
    </row>
    <row r="451" spans="1:12" s="11" customFormat="1" ht="19.899999999999999" customHeight="1">
      <c r="A451" s="20">
        <v>447</v>
      </c>
      <c r="B451" s="77"/>
      <c r="C451" s="21" t="s">
        <v>1034</v>
      </c>
      <c r="D451" s="21"/>
      <c r="E451" s="28" t="s">
        <v>68</v>
      </c>
      <c r="F451" s="26">
        <v>40</v>
      </c>
      <c r="G451" s="26"/>
      <c r="H451" s="26" t="s">
        <v>15</v>
      </c>
      <c r="I451" s="17">
        <v>30000</v>
      </c>
      <c r="J451" s="17">
        <v>24000</v>
      </c>
      <c r="K451" s="17">
        <f t="shared" si="14"/>
        <v>960000</v>
      </c>
      <c r="L451" s="69">
        <f t="shared" si="13"/>
        <v>24000</v>
      </c>
    </row>
    <row r="452" spans="1:12" s="11" customFormat="1" ht="19.899999999999999" customHeight="1">
      <c r="A452" s="20">
        <v>448</v>
      </c>
      <c r="B452" s="77"/>
      <c r="C452" s="21" t="s">
        <v>1035</v>
      </c>
      <c r="D452" s="21"/>
      <c r="E452" s="28" t="s">
        <v>68</v>
      </c>
      <c r="F452" s="26">
        <v>20</v>
      </c>
      <c r="G452" s="26"/>
      <c r="H452" s="26" t="s">
        <v>15</v>
      </c>
      <c r="I452" s="17">
        <v>35000</v>
      </c>
      <c r="J452" s="17">
        <v>28000</v>
      </c>
      <c r="K452" s="17">
        <f t="shared" si="14"/>
        <v>560000</v>
      </c>
      <c r="L452" s="69">
        <f t="shared" si="13"/>
        <v>28000</v>
      </c>
    </row>
    <row r="453" spans="1:12" s="11" customFormat="1" ht="19.899999999999999" customHeight="1">
      <c r="A453" s="20">
        <v>449</v>
      </c>
      <c r="B453" s="77"/>
      <c r="C453" s="21" t="s">
        <v>1036</v>
      </c>
      <c r="D453" s="21"/>
      <c r="E453" s="28" t="s">
        <v>68</v>
      </c>
      <c r="F453" s="26">
        <v>30</v>
      </c>
      <c r="G453" s="26"/>
      <c r="H453" s="26" t="s">
        <v>15</v>
      </c>
      <c r="I453" s="17">
        <v>90000</v>
      </c>
      <c r="J453" s="17">
        <v>72000</v>
      </c>
      <c r="K453" s="17">
        <f t="shared" si="14"/>
        <v>2160000</v>
      </c>
      <c r="L453" s="69">
        <f t="shared" si="13"/>
        <v>72000</v>
      </c>
    </row>
    <row r="454" spans="1:12" s="11" customFormat="1" ht="19.899999999999999" customHeight="1">
      <c r="A454" s="20">
        <v>450</v>
      </c>
      <c r="B454" s="77"/>
      <c r="C454" s="21" t="s">
        <v>1037</v>
      </c>
      <c r="D454" s="21"/>
      <c r="E454" s="28" t="s">
        <v>68</v>
      </c>
      <c r="F454" s="26">
        <v>50</v>
      </c>
      <c r="G454" s="26"/>
      <c r="H454" s="26" t="s">
        <v>15</v>
      </c>
      <c r="I454" s="17">
        <v>95000</v>
      </c>
      <c r="J454" s="17">
        <v>76000</v>
      </c>
      <c r="K454" s="17">
        <f t="shared" si="14"/>
        <v>3800000</v>
      </c>
      <c r="L454" s="69">
        <f t="shared" ref="L454:L517" si="15">I454*80%</f>
        <v>76000</v>
      </c>
    </row>
    <row r="455" spans="1:12" s="11" customFormat="1" ht="19.899999999999999" customHeight="1">
      <c r="A455" s="20">
        <v>451</v>
      </c>
      <c r="B455" s="77"/>
      <c r="C455" s="21" t="s">
        <v>1038</v>
      </c>
      <c r="D455" s="21"/>
      <c r="E455" s="28" t="s">
        <v>68</v>
      </c>
      <c r="F455" s="26">
        <v>50</v>
      </c>
      <c r="G455" s="26"/>
      <c r="H455" s="26" t="s">
        <v>15</v>
      </c>
      <c r="I455" s="17">
        <v>74000</v>
      </c>
      <c r="J455" s="17">
        <v>59200</v>
      </c>
      <c r="K455" s="17">
        <f t="shared" si="14"/>
        <v>2960000</v>
      </c>
      <c r="L455" s="69">
        <f t="shared" si="15"/>
        <v>59200</v>
      </c>
    </row>
    <row r="456" spans="1:12" s="11" customFormat="1" ht="19.899999999999999" customHeight="1">
      <c r="A456" s="20">
        <v>452</v>
      </c>
      <c r="B456" s="77"/>
      <c r="C456" s="21" t="s">
        <v>1039</v>
      </c>
      <c r="D456" s="21"/>
      <c r="E456" s="28" t="s">
        <v>68</v>
      </c>
      <c r="F456" s="26">
        <v>30</v>
      </c>
      <c r="G456" s="26"/>
      <c r="H456" s="26" t="s">
        <v>15</v>
      </c>
      <c r="I456" s="17">
        <v>85000</v>
      </c>
      <c r="J456" s="17">
        <v>68000</v>
      </c>
      <c r="K456" s="17">
        <f t="shared" si="14"/>
        <v>2040000</v>
      </c>
      <c r="L456" s="69">
        <f t="shared" si="15"/>
        <v>68000</v>
      </c>
    </row>
    <row r="457" spans="1:12" s="11" customFormat="1" ht="19.899999999999999" customHeight="1">
      <c r="A457" s="20">
        <v>453</v>
      </c>
      <c r="B457" s="77"/>
      <c r="C457" s="21" t="s">
        <v>1040</v>
      </c>
      <c r="D457" s="21"/>
      <c r="E457" s="28" t="s">
        <v>68</v>
      </c>
      <c r="F457" s="26">
        <v>30</v>
      </c>
      <c r="G457" s="26"/>
      <c r="H457" s="26" t="s">
        <v>15</v>
      </c>
      <c r="I457" s="17">
        <v>125000</v>
      </c>
      <c r="J457" s="17">
        <v>100000</v>
      </c>
      <c r="K457" s="17">
        <f t="shared" si="14"/>
        <v>3000000</v>
      </c>
      <c r="L457" s="69">
        <f t="shared" si="15"/>
        <v>100000</v>
      </c>
    </row>
    <row r="458" spans="1:12" s="11" customFormat="1" ht="19.899999999999999" customHeight="1">
      <c r="A458" s="20">
        <v>454</v>
      </c>
      <c r="B458" s="77"/>
      <c r="C458" s="21" t="s">
        <v>1041</v>
      </c>
      <c r="D458" s="21"/>
      <c r="E458" s="28" t="s">
        <v>68</v>
      </c>
      <c r="F458" s="26">
        <v>30</v>
      </c>
      <c r="G458" s="26"/>
      <c r="H458" s="26" t="s">
        <v>15</v>
      </c>
      <c r="I458" s="17">
        <v>150000</v>
      </c>
      <c r="J458" s="17">
        <v>120000</v>
      </c>
      <c r="K458" s="17">
        <f t="shared" si="14"/>
        <v>3600000</v>
      </c>
      <c r="L458" s="69">
        <f t="shared" si="15"/>
        <v>120000</v>
      </c>
    </row>
    <row r="459" spans="1:12" s="11" customFormat="1" ht="19.899999999999999" customHeight="1">
      <c r="A459" s="20">
        <v>455</v>
      </c>
      <c r="B459" s="77"/>
      <c r="C459" s="21" t="s">
        <v>1042</v>
      </c>
      <c r="D459" s="21"/>
      <c r="E459" s="28" t="s">
        <v>68</v>
      </c>
      <c r="F459" s="26">
        <v>20</v>
      </c>
      <c r="G459" s="26"/>
      <c r="H459" s="26" t="s">
        <v>15</v>
      </c>
      <c r="I459" s="17">
        <v>115000</v>
      </c>
      <c r="J459" s="17">
        <v>92000</v>
      </c>
      <c r="K459" s="17">
        <f t="shared" si="14"/>
        <v>1840000</v>
      </c>
      <c r="L459" s="69">
        <f t="shared" si="15"/>
        <v>92000</v>
      </c>
    </row>
    <row r="460" spans="1:12" s="11" customFormat="1" ht="19.899999999999999" customHeight="1">
      <c r="A460" s="20">
        <v>456</v>
      </c>
      <c r="B460" s="77"/>
      <c r="C460" s="21" t="s">
        <v>1043</v>
      </c>
      <c r="D460" s="21"/>
      <c r="E460" s="28" t="s">
        <v>68</v>
      </c>
      <c r="F460" s="26">
        <v>31</v>
      </c>
      <c r="G460" s="26"/>
      <c r="H460" s="26" t="s">
        <v>15</v>
      </c>
      <c r="I460" s="17">
        <v>190000</v>
      </c>
      <c r="J460" s="17">
        <v>152000</v>
      </c>
      <c r="K460" s="17">
        <f t="shared" si="14"/>
        <v>4712000</v>
      </c>
      <c r="L460" s="69">
        <f t="shared" si="15"/>
        <v>152000</v>
      </c>
    </row>
    <row r="461" spans="1:12" s="11" customFormat="1" ht="19.899999999999999" customHeight="1">
      <c r="A461" s="20">
        <v>457</v>
      </c>
      <c r="B461" s="77"/>
      <c r="C461" s="21" t="s">
        <v>1044</v>
      </c>
      <c r="D461" s="21"/>
      <c r="E461" s="28" t="s">
        <v>68</v>
      </c>
      <c r="F461" s="26">
        <v>20</v>
      </c>
      <c r="G461" s="26"/>
      <c r="H461" s="26" t="s">
        <v>15</v>
      </c>
      <c r="I461" s="17">
        <v>210000</v>
      </c>
      <c r="J461" s="17">
        <v>168000</v>
      </c>
      <c r="K461" s="17">
        <f t="shared" si="14"/>
        <v>3360000</v>
      </c>
      <c r="L461" s="69">
        <f t="shared" si="15"/>
        <v>168000</v>
      </c>
    </row>
    <row r="462" spans="1:12" s="11" customFormat="1" ht="19.899999999999999" customHeight="1">
      <c r="A462" s="20">
        <v>458</v>
      </c>
      <c r="B462" s="77"/>
      <c r="C462" s="21" t="s">
        <v>1045</v>
      </c>
      <c r="D462" s="21"/>
      <c r="E462" s="28" t="s">
        <v>68</v>
      </c>
      <c r="F462" s="26">
        <v>19</v>
      </c>
      <c r="G462" s="26"/>
      <c r="H462" s="26" t="s">
        <v>15</v>
      </c>
      <c r="I462" s="17">
        <v>145000</v>
      </c>
      <c r="J462" s="17">
        <v>116000</v>
      </c>
      <c r="K462" s="17">
        <f t="shared" si="14"/>
        <v>2204000</v>
      </c>
      <c r="L462" s="69">
        <f t="shared" si="15"/>
        <v>116000</v>
      </c>
    </row>
    <row r="463" spans="1:12" s="11" customFormat="1" ht="19.899999999999999" customHeight="1">
      <c r="A463" s="20">
        <v>459</v>
      </c>
      <c r="B463" s="77"/>
      <c r="C463" s="21" t="s">
        <v>1046</v>
      </c>
      <c r="D463" s="21"/>
      <c r="E463" s="28" t="s">
        <v>68</v>
      </c>
      <c r="F463" s="26">
        <v>20</v>
      </c>
      <c r="G463" s="26"/>
      <c r="H463" s="26" t="s">
        <v>15</v>
      </c>
      <c r="I463" s="17">
        <v>405000</v>
      </c>
      <c r="J463" s="17">
        <v>324000</v>
      </c>
      <c r="K463" s="17">
        <f t="shared" si="14"/>
        <v>6480000</v>
      </c>
      <c r="L463" s="69">
        <f t="shared" si="15"/>
        <v>324000</v>
      </c>
    </row>
    <row r="464" spans="1:12" s="11" customFormat="1" ht="19.899999999999999" customHeight="1">
      <c r="A464" s="20">
        <v>460</v>
      </c>
      <c r="B464" s="77"/>
      <c r="C464" s="21" t="s">
        <v>1047</v>
      </c>
      <c r="D464" s="21"/>
      <c r="E464" s="28" t="s">
        <v>68</v>
      </c>
      <c r="F464" s="26">
        <v>82</v>
      </c>
      <c r="G464" s="26"/>
      <c r="H464" s="26" t="s">
        <v>15</v>
      </c>
      <c r="I464" s="17">
        <v>85000</v>
      </c>
      <c r="J464" s="17">
        <v>68000</v>
      </c>
      <c r="K464" s="17">
        <f t="shared" si="14"/>
        <v>5576000</v>
      </c>
      <c r="L464" s="69">
        <f t="shared" si="15"/>
        <v>68000</v>
      </c>
    </row>
    <row r="465" spans="1:12" s="11" customFormat="1" ht="19.899999999999999" customHeight="1">
      <c r="A465" s="20">
        <v>461</v>
      </c>
      <c r="B465" s="77"/>
      <c r="C465" s="21" t="s">
        <v>1048</v>
      </c>
      <c r="D465" s="21"/>
      <c r="E465" s="28" t="s">
        <v>68</v>
      </c>
      <c r="F465" s="26">
        <v>42</v>
      </c>
      <c r="G465" s="26"/>
      <c r="H465" s="26" t="s">
        <v>15</v>
      </c>
      <c r="I465" s="17">
        <v>59000</v>
      </c>
      <c r="J465" s="17">
        <v>47200</v>
      </c>
      <c r="K465" s="17">
        <f t="shared" si="14"/>
        <v>1982400</v>
      </c>
      <c r="L465" s="69">
        <f t="shared" si="15"/>
        <v>47200</v>
      </c>
    </row>
    <row r="466" spans="1:12" s="11" customFormat="1" ht="19.899999999999999" customHeight="1">
      <c r="A466" s="20">
        <v>462</v>
      </c>
      <c r="B466" s="77"/>
      <c r="C466" s="21" t="s">
        <v>1049</v>
      </c>
      <c r="D466" s="21"/>
      <c r="E466" s="28" t="s">
        <v>68</v>
      </c>
      <c r="F466" s="26">
        <v>42</v>
      </c>
      <c r="G466" s="26"/>
      <c r="H466" s="26" t="s">
        <v>15</v>
      </c>
      <c r="I466" s="17">
        <v>55000</v>
      </c>
      <c r="J466" s="17">
        <v>44000</v>
      </c>
      <c r="K466" s="17">
        <f t="shared" si="14"/>
        <v>1848000</v>
      </c>
      <c r="L466" s="69">
        <f t="shared" si="15"/>
        <v>44000</v>
      </c>
    </row>
    <row r="467" spans="1:12" s="11" customFormat="1" ht="19.899999999999999" customHeight="1">
      <c r="A467" s="20">
        <v>463</v>
      </c>
      <c r="B467" s="77"/>
      <c r="C467" s="21" t="s">
        <v>1050</v>
      </c>
      <c r="D467" s="21"/>
      <c r="E467" s="28" t="s">
        <v>68</v>
      </c>
      <c r="F467" s="26">
        <v>42</v>
      </c>
      <c r="G467" s="26"/>
      <c r="H467" s="26" t="s">
        <v>15</v>
      </c>
      <c r="I467" s="17">
        <v>30000</v>
      </c>
      <c r="J467" s="17">
        <v>24000</v>
      </c>
      <c r="K467" s="17">
        <f t="shared" si="14"/>
        <v>1008000</v>
      </c>
      <c r="L467" s="69">
        <f t="shared" si="15"/>
        <v>24000</v>
      </c>
    </row>
    <row r="468" spans="1:12" s="11" customFormat="1" ht="19.899999999999999" customHeight="1">
      <c r="A468" s="20">
        <v>464</v>
      </c>
      <c r="B468" s="77"/>
      <c r="C468" s="21" t="s">
        <v>1051</v>
      </c>
      <c r="D468" s="21"/>
      <c r="E468" s="28" t="s">
        <v>68</v>
      </c>
      <c r="F468" s="26">
        <v>42</v>
      </c>
      <c r="G468" s="26"/>
      <c r="H468" s="26" t="s">
        <v>15</v>
      </c>
      <c r="I468" s="17">
        <v>58000</v>
      </c>
      <c r="J468" s="17">
        <v>46400</v>
      </c>
      <c r="K468" s="17">
        <f t="shared" si="14"/>
        <v>1948800</v>
      </c>
      <c r="L468" s="69">
        <f t="shared" si="15"/>
        <v>46400</v>
      </c>
    </row>
    <row r="469" spans="1:12" s="11" customFormat="1" ht="180" customHeight="1">
      <c r="A469" s="20">
        <v>465</v>
      </c>
      <c r="B469" s="32" t="s">
        <v>1052</v>
      </c>
      <c r="C469" s="21" t="s">
        <v>1053</v>
      </c>
      <c r="D469" s="21" t="s">
        <v>1054</v>
      </c>
      <c r="E469" s="28" t="s">
        <v>167</v>
      </c>
      <c r="F469" s="26">
        <v>8</v>
      </c>
      <c r="G469" s="26" t="s">
        <v>1055</v>
      </c>
      <c r="H469" s="26" t="s">
        <v>15</v>
      </c>
      <c r="I469" s="26">
        <v>700000</v>
      </c>
      <c r="J469" s="17">
        <v>560000</v>
      </c>
      <c r="K469" s="17">
        <f t="shared" si="14"/>
        <v>4480000</v>
      </c>
      <c r="L469" s="69">
        <f t="shared" si="15"/>
        <v>560000</v>
      </c>
    </row>
    <row r="470" spans="1:12" ht="121.5" customHeight="1">
      <c r="A470" s="20">
        <v>466</v>
      </c>
      <c r="B470" s="21" t="s">
        <v>1056</v>
      </c>
      <c r="C470" s="21" t="s">
        <v>1057</v>
      </c>
      <c r="D470" s="21" t="s">
        <v>1058</v>
      </c>
      <c r="E470" s="20" t="s">
        <v>167</v>
      </c>
      <c r="F470" s="16">
        <v>22</v>
      </c>
      <c r="G470" s="16" t="s">
        <v>1059</v>
      </c>
      <c r="H470" s="16" t="s">
        <v>1060</v>
      </c>
      <c r="I470" s="16">
        <v>140000</v>
      </c>
      <c r="J470" s="17">
        <v>112000</v>
      </c>
      <c r="K470" s="17">
        <f t="shared" si="14"/>
        <v>2464000</v>
      </c>
      <c r="L470" s="69">
        <f t="shared" si="15"/>
        <v>112000</v>
      </c>
    </row>
    <row r="471" spans="1:12" s="12" customFormat="1" ht="31.5">
      <c r="A471" s="20">
        <v>467</v>
      </c>
      <c r="B471" s="32" t="s">
        <v>1061</v>
      </c>
      <c r="C471" s="25" t="s">
        <v>1062</v>
      </c>
      <c r="D471" s="25" t="s">
        <v>1063</v>
      </c>
      <c r="E471" s="28" t="s">
        <v>156</v>
      </c>
      <c r="F471" s="26">
        <v>2</v>
      </c>
      <c r="G471" s="26" t="s">
        <v>1064</v>
      </c>
      <c r="H471" s="26" t="s">
        <v>739</v>
      </c>
      <c r="I471" s="26">
        <v>650000</v>
      </c>
      <c r="J471" s="17">
        <v>520000</v>
      </c>
      <c r="K471" s="17">
        <f t="shared" si="14"/>
        <v>1040000</v>
      </c>
      <c r="L471" s="69">
        <f t="shared" si="15"/>
        <v>520000</v>
      </c>
    </row>
    <row r="472" spans="1:12" s="12" customFormat="1">
      <c r="A472" s="20">
        <v>468</v>
      </c>
      <c r="B472" s="25" t="s">
        <v>1065</v>
      </c>
      <c r="C472" s="25" t="s">
        <v>1066</v>
      </c>
      <c r="D472" s="25"/>
      <c r="E472" s="28" t="s">
        <v>68</v>
      </c>
      <c r="F472" s="26">
        <v>2</v>
      </c>
      <c r="G472" s="26" t="s">
        <v>1067</v>
      </c>
      <c r="H472" s="26" t="s">
        <v>739</v>
      </c>
      <c r="I472" s="26">
        <v>5300000</v>
      </c>
      <c r="J472" s="17">
        <v>4240000</v>
      </c>
      <c r="K472" s="17">
        <f t="shared" si="14"/>
        <v>8480000</v>
      </c>
      <c r="L472" s="69">
        <f t="shared" si="15"/>
        <v>4240000</v>
      </c>
    </row>
    <row r="473" spans="1:12" s="11" customFormat="1" ht="87" customHeight="1">
      <c r="A473" s="20">
        <v>469</v>
      </c>
      <c r="B473" s="32" t="s">
        <v>1068</v>
      </c>
      <c r="C473" s="21" t="s">
        <v>1069</v>
      </c>
      <c r="D473" s="21" t="s">
        <v>1070</v>
      </c>
      <c r="E473" s="28" t="s">
        <v>167</v>
      </c>
      <c r="F473" s="26">
        <v>12</v>
      </c>
      <c r="G473" s="26" t="s">
        <v>868</v>
      </c>
      <c r="H473" s="26" t="s">
        <v>81</v>
      </c>
      <c r="I473" s="26">
        <v>1355000</v>
      </c>
      <c r="J473" s="17">
        <v>1084000</v>
      </c>
      <c r="K473" s="17">
        <f t="shared" si="14"/>
        <v>13008000</v>
      </c>
      <c r="L473" s="69">
        <f t="shared" si="15"/>
        <v>1084000</v>
      </c>
    </row>
    <row r="474" spans="1:12" ht="116.25" customHeight="1">
      <c r="A474" s="20">
        <v>470</v>
      </c>
      <c r="B474" s="21" t="s">
        <v>1071</v>
      </c>
      <c r="C474" s="21" t="s">
        <v>1072</v>
      </c>
      <c r="D474" s="21" t="s">
        <v>1073</v>
      </c>
      <c r="E474" s="20" t="s">
        <v>156</v>
      </c>
      <c r="F474" s="16">
        <v>5</v>
      </c>
      <c r="G474" s="16" t="s">
        <v>1059</v>
      </c>
      <c r="H474" s="16" t="s">
        <v>1060</v>
      </c>
      <c r="I474" s="16">
        <v>615000</v>
      </c>
      <c r="J474" s="17">
        <v>492000</v>
      </c>
      <c r="K474" s="17">
        <f t="shared" si="14"/>
        <v>2460000</v>
      </c>
      <c r="L474" s="69">
        <f t="shared" si="15"/>
        <v>492000</v>
      </c>
    </row>
    <row r="475" spans="1:12" ht="246.75" customHeight="1">
      <c r="A475" s="20">
        <v>471</v>
      </c>
      <c r="B475" s="21" t="s">
        <v>1074</v>
      </c>
      <c r="C475" s="21" t="s">
        <v>1075</v>
      </c>
      <c r="D475" s="21" t="s">
        <v>1076</v>
      </c>
      <c r="E475" s="20" t="s">
        <v>167</v>
      </c>
      <c r="F475" s="16">
        <v>5</v>
      </c>
      <c r="G475" s="16" t="s">
        <v>1064</v>
      </c>
      <c r="H475" s="16" t="s">
        <v>739</v>
      </c>
      <c r="I475" s="16">
        <v>1550000</v>
      </c>
      <c r="J475" s="17">
        <v>1240000</v>
      </c>
      <c r="K475" s="17">
        <f t="shared" si="14"/>
        <v>6200000</v>
      </c>
      <c r="L475" s="69">
        <f t="shared" si="15"/>
        <v>1240000</v>
      </c>
    </row>
    <row r="476" spans="1:12" ht="77.25" customHeight="1">
      <c r="A476" s="20">
        <v>472</v>
      </c>
      <c r="B476" s="21" t="s">
        <v>1077</v>
      </c>
      <c r="C476" s="21" t="s">
        <v>1078</v>
      </c>
      <c r="D476" s="21" t="s">
        <v>1079</v>
      </c>
      <c r="E476" s="20" t="s">
        <v>156</v>
      </c>
      <c r="F476" s="16">
        <v>3</v>
      </c>
      <c r="G476" s="16" t="s">
        <v>1059</v>
      </c>
      <c r="H476" s="16" t="s">
        <v>1060</v>
      </c>
      <c r="I476" s="16">
        <v>832000</v>
      </c>
      <c r="J476" s="17">
        <v>665600</v>
      </c>
      <c r="K476" s="17">
        <f t="shared" si="14"/>
        <v>1996800</v>
      </c>
      <c r="L476" s="69">
        <f t="shared" si="15"/>
        <v>665600</v>
      </c>
    </row>
    <row r="477" spans="1:12" s="12" customFormat="1" ht="129" customHeight="1">
      <c r="A477" s="20">
        <v>473</v>
      </c>
      <c r="B477" s="25" t="s">
        <v>1080</v>
      </c>
      <c r="C477" s="25" t="s">
        <v>1081</v>
      </c>
      <c r="D477" s="25" t="s">
        <v>1081</v>
      </c>
      <c r="E477" s="20" t="s">
        <v>167</v>
      </c>
      <c r="F477" s="26">
        <v>5</v>
      </c>
      <c r="G477" s="26" t="s">
        <v>1064</v>
      </c>
      <c r="H477" s="26" t="s">
        <v>739</v>
      </c>
      <c r="I477" s="26">
        <v>1785000</v>
      </c>
      <c r="J477" s="17">
        <v>1428000</v>
      </c>
      <c r="K477" s="17">
        <f t="shared" si="14"/>
        <v>7140000</v>
      </c>
      <c r="L477" s="69">
        <f t="shared" si="15"/>
        <v>1428000</v>
      </c>
    </row>
    <row r="478" spans="1:12" s="12" customFormat="1" ht="113.25" customHeight="1">
      <c r="A478" s="20">
        <v>474</v>
      </c>
      <c r="B478" s="25" t="s">
        <v>1082</v>
      </c>
      <c r="C478" s="25" t="s">
        <v>1083</v>
      </c>
      <c r="D478" s="25" t="s">
        <v>1084</v>
      </c>
      <c r="E478" s="28" t="s">
        <v>68</v>
      </c>
      <c r="F478" s="26">
        <v>15</v>
      </c>
      <c r="G478" s="26" t="s">
        <v>868</v>
      </c>
      <c r="H478" s="26" t="s">
        <v>1060</v>
      </c>
      <c r="I478" s="26">
        <v>310000</v>
      </c>
      <c r="J478" s="17">
        <v>248000</v>
      </c>
      <c r="K478" s="17">
        <f t="shared" si="14"/>
        <v>3720000</v>
      </c>
      <c r="L478" s="69">
        <f t="shared" si="15"/>
        <v>248000</v>
      </c>
    </row>
    <row r="479" spans="1:12" ht="141.75">
      <c r="A479" s="20">
        <v>475</v>
      </c>
      <c r="B479" s="21" t="s">
        <v>1085</v>
      </c>
      <c r="C479" s="21" t="s">
        <v>1086</v>
      </c>
      <c r="D479" s="21" t="s">
        <v>1087</v>
      </c>
      <c r="E479" s="20" t="s">
        <v>68</v>
      </c>
      <c r="F479" s="16">
        <v>15</v>
      </c>
      <c r="G479" s="16" t="s">
        <v>1088</v>
      </c>
      <c r="H479" s="16" t="s">
        <v>739</v>
      </c>
      <c r="I479" s="16">
        <v>689000</v>
      </c>
      <c r="J479" s="17">
        <v>551200</v>
      </c>
      <c r="K479" s="17">
        <f t="shared" si="14"/>
        <v>8268000</v>
      </c>
      <c r="L479" s="69">
        <f t="shared" si="15"/>
        <v>551200</v>
      </c>
    </row>
    <row r="480" spans="1:12" ht="31.5">
      <c r="A480" s="20">
        <v>476</v>
      </c>
      <c r="B480" s="21" t="s">
        <v>1089</v>
      </c>
      <c r="C480" s="21" t="s">
        <v>1090</v>
      </c>
      <c r="D480" s="21" t="s">
        <v>1091</v>
      </c>
      <c r="E480" s="20" t="s">
        <v>68</v>
      </c>
      <c r="F480" s="16">
        <v>22</v>
      </c>
      <c r="G480" s="16" t="s">
        <v>1092</v>
      </c>
      <c r="H480" s="16" t="s">
        <v>15</v>
      </c>
      <c r="I480" s="16">
        <v>285000</v>
      </c>
      <c r="J480" s="17">
        <v>228000</v>
      </c>
      <c r="K480" s="17">
        <f t="shared" si="14"/>
        <v>5016000</v>
      </c>
      <c r="L480" s="69">
        <f t="shared" si="15"/>
        <v>228000</v>
      </c>
    </row>
    <row r="481" spans="1:12" ht="126">
      <c r="A481" s="20">
        <v>477</v>
      </c>
      <c r="B481" s="21" t="s">
        <v>1093</v>
      </c>
      <c r="C481" s="21" t="s">
        <v>1094</v>
      </c>
      <c r="D481" s="21" t="s">
        <v>1095</v>
      </c>
      <c r="E481" s="20" t="s">
        <v>68</v>
      </c>
      <c r="F481" s="16">
        <v>10</v>
      </c>
      <c r="G481" s="16" t="s">
        <v>1059</v>
      </c>
      <c r="H481" s="16" t="s">
        <v>1060</v>
      </c>
      <c r="I481" s="16">
        <v>390000</v>
      </c>
      <c r="J481" s="17">
        <v>312000</v>
      </c>
      <c r="K481" s="17">
        <f t="shared" si="14"/>
        <v>3120000</v>
      </c>
      <c r="L481" s="69">
        <f t="shared" si="15"/>
        <v>312000</v>
      </c>
    </row>
    <row r="482" spans="1:12" ht="122.1" customHeight="1">
      <c r="A482" s="20">
        <v>478</v>
      </c>
      <c r="B482" s="21" t="s">
        <v>1096</v>
      </c>
      <c r="C482" s="21" t="s">
        <v>1097</v>
      </c>
      <c r="D482" s="21" t="s">
        <v>1098</v>
      </c>
      <c r="E482" s="20" t="s">
        <v>68</v>
      </c>
      <c r="F482" s="16">
        <v>30</v>
      </c>
      <c r="G482" s="16" t="s">
        <v>1099</v>
      </c>
      <c r="H482" s="16" t="s">
        <v>739</v>
      </c>
      <c r="I482" s="16">
        <v>426000</v>
      </c>
      <c r="J482" s="17">
        <v>340800</v>
      </c>
      <c r="K482" s="17">
        <f t="shared" si="14"/>
        <v>10224000</v>
      </c>
      <c r="L482" s="69">
        <f t="shared" si="15"/>
        <v>340800</v>
      </c>
    </row>
    <row r="483" spans="1:12" ht="61.5" customHeight="1">
      <c r="A483" s="20">
        <v>479</v>
      </c>
      <c r="B483" s="21" t="s">
        <v>1100</v>
      </c>
      <c r="C483" s="21" t="s">
        <v>1101</v>
      </c>
      <c r="D483" s="21" t="s">
        <v>1102</v>
      </c>
      <c r="E483" s="20" t="s">
        <v>68</v>
      </c>
      <c r="F483" s="16">
        <v>10</v>
      </c>
      <c r="G483" s="16" t="s">
        <v>878</v>
      </c>
      <c r="H483" s="16" t="s">
        <v>527</v>
      </c>
      <c r="I483" s="16">
        <v>670000</v>
      </c>
      <c r="J483" s="17">
        <v>536000</v>
      </c>
      <c r="K483" s="17">
        <f t="shared" si="14"/>
        <v>5360000</v>
      </c>
      <c r="L483" s="69">
        <f t="shared" si="15"/>
        <v>536000</v>
      </c>
    </row>
    <row r="484" spans="1:12" ht="236.25" customHeight="1">
      <c r="A484" s="20">
        <v>480</v>
      </c>
      <c r="B484" s="21" t="s">
        <v>1103</v>
      </c>
      <c r="C484" s="21" t="s">
        <v>1104</v>
      </c>
      <c r="D484" s="21" t="s">
        <v>1105</v>
      </c>
      <c r="E484" s="20" t="s">
        <v>68</v>
      </c>
      <c r="F484" s="16">
        <v>12</v>
      </c>
      <c r="G484" s="16" t="s">
        <v>1059</v>
      </c>
      <c r="H484" s="16" t="s">
        <v>1060</v>
      </c>
      <c r="I484" s="16">
        <v>275000</v>
      </c>
      <c r="J484" s="17">
        <v>220000</v>
      </c>
      <c r="K484" s="17">
        <f t="shared" si="14"/>
        <v>2640000</v>
      </c>
      <c r="L484" s="69">
        <f t="shared" si="15"/>
        <v>220000</v>
      </c>
    </row>
    <row r="485" spans="1:12" ht="15.75" customHeight="1">
      <c r="A485" s="20">
        <v>481</v>
      </c>
      <c r="B485" s="21" t="s">
        <v>1106</v>
      </c>
      <c r="C485" s="21" t="s">
        <v>1107</v>
      </c>
      <c r="D485" s="21" t="s">
        <v>1108</v>
      </c>
      <c r="E485" s="20" t="s">
        <v>68</v>
      </c>
      <c r="F485" s="16">
        <v>2</v>
      </c>
      <c r="G485" s="16" t="s">
        <v>871</v>
      </c>
      <c r="H485" s="16" t="s">
        <v>1060</v>
      </c>
      <c r="I485" s="16">
        <v>187000</v>
      </c>
      <c r="J485" s="17">
        <v>149600</v>
      </c>
      <c r="K485" s="17">
        <f t="shared" si="14"/>
        <v>299200</v>
      </c>
      <c r="L485" s="69">
        <f t="shared" si="15"/>
        <v>149600</v>
      </c>
    </row>
    <row r="486" spans="1:12" s="12" customFormat="1">
      <c r="A486" s="20">
        <v>482</v>
      </c>
      <c r="B486" s="21" t="s">
        <v>1109</v>
      </c>
      <c r="C486" s="25" t="s">
        <v>1110</v>
      </c>
      <c r="D486" s="25"/>
      <c r="E486" s="28" t="s">
        <v>1111</v>
      </c>
      <c r="F486" s="26">
        <v>4</v>
      </c>
      <c r="G486" s="26" t="s">
        <v>868</v>
      </c>
      <c r="H486" s="26" t="s">
        <v>81</v>
      </c>
      <c r="I486" s="26">
        <v>1450000</v>
      </c>
      <c r="J486" s="17">
        <v>1160000</v>
      </c>
      <c r="K486" s="17">
        <f t="shared" si="14"/>
        <v>4640000</v>
      </c>
      <c r="L486" s="69">
        <f t="shared" si="15"/>
        <v>1160000</v>
      </c>
    </row>
    <row r="487" spans="1:12" s="12" customFormat="1" ht="63">
      <c r="A487" s="20">
        <v>483</v>
      </c>
      <c r="B487" s="25" t="s">
        <v>1112</v>
      </c>
      <c r="C487" s="25" t="s">
        <v>1113</v>
      </c>
      <c r="D487" s="25"/>
      <c r="E487" s="28" t="s">
        <v>167</v>
      </c>
      <c r="F487" s="26">
        <v>3</v>
      </c>
      <c r="G487" s="26" t="s">
        <v>1059</v>
      </c>
      <c r="H487" s="26" t="s">
        <v>1060</v>
      </c>
      <c r="I487" s="26">
        <v>812000</v>
      </c>
      <c r="J487" s="17">
        <v>649600</v>
      </c>
      <c r="K487" s="17">
        <f t="shared" si="14"/>
        <v>1948800</v>
      </c>
      <c r="L487" s="69">
        <f t="shared" si="15"/>
        <v>649600</v>
      </c>
    </row>
    <row r="488" spans="1:12" s="12" customFormat="1" ht="47.25">
      <c r="A488" s="20">
        <v>484</v>
      </c>
      <c r="B488" s="25" t="s">
        <v>1114</v>
      </c>
      <c r="C488" s="49" t="s">
        <v>1115</v>
      </c>
      <c r="D488" s="49" t="s">
        <v>1116</v>
      </c>
      <c r="E488" s="20" t="s">
        <v>167</v>
      </c>
      <c r="F488" s="26">
        <v>4</v>
      </c>
      <c r="G488" s="26" t="s">
        <v>1059</v>
      </c>
      <c r="H488" s="26" t="s">
        <v>1060</v>
      </c>
      <c r="I488" s="26">
        <v>299000</v>
      </c>
      <c r="J488" s="17">
        <v>239200</v>
      </c>
      <c r="K488" s="17">
        <f t="shared" si="14"/>
        <v>956800</v>
      </c>
      <c r="L488" s="69">
        <f t="shared" si="15"/>
        <v>239200</v>
      </c>
    </row>
    <row r="489" spans="1:12" ht="82.5" customHeight="1">
      <c r="A489" s="20">
        <v>485</v>
      </c>
      <c r="B489" s="25" t="s">
        <v>1117</v>
      </c>
      <c r="C489" s="21" t="s">
        <v>1118</v>
      </c>
      <c r="D489" s="21" t="s">
        <v>1119</v>
      </c>
      <c r="E489" s="28" t="s">
        <v>68</v>
      </c>
      <c r="F489" s="16">
        <v>10</v>
      </c>
      <c r="G489" s="16" t="s">
        <v>1120</v>
      </c>
      <c r="H489" s="16" t="s">
        <v>1060</v>
      </c>
      <c r="I489" s="16">
        <v>70000</v>
      </c>
      <c r="J489" s="17">
        <v>56000</v>
      </c>
      <c r="K489" s="17">
        <f t="shared" si="14"/>
        <v>560000</v>
      </c>
      <c r="L489" s="69">
        <f t="shared" si="15"/>
        <v>56000</v>
      </c>
    </row>
    <row r="490" spans="1:12" ht="126.75" customHeight="1">
      <c r="A490" s="20">
        <v>486</v>
      </c>
      <c r="B490" s="21" t="s">
        <v>1121</v>
      </c>
      <c r="C490" s="21" t="s">
        <v>1122</v>
      </c>
      <c r="D490" s="21" t="s">
        <v>1123</v>
      </c>
      <c r="E490" s="28" t="s">
        <v>68</v>
      </c>
      <c r="F490" s="16">
        <v>20</v>
      </c>
      <c r="G490" s="16" t="s">
        <v>1124</v>
      </c>
      <c r="H490" s="16" t="s">
        <v>739</v>
      </c>
      <c r="I490" s="16">
        <v>99000</v>
      </c>
      <c r="J490" s="17">
        <v>79200</v>
      </c>
      <c r="K490" s="17">
        <f t="shared" si="14"/>
        <v>1584000</v>
      </c>
      <c r="L490" s="69">
        <f t="shared" si="15"/>
        <v>79200</v>
      </c>
    </row>
    <row r="491" spans="1:12" s="11" customFormat="1" ht="19.899999999999999" customHeight="1">
      <c r="A491" s="20">
        <v>487</v>
      </c>
      <c r="B491" s="77" t="s">
        <v>1125</v>
      </c>
      <c r="C491" s="21" t="s">
        <v>1126</v>
      </c>
      <c r="D491" s="21"/>
      <c r="E491" s="28" t="s">
        <v>68</v>
      </c>
      <c r="F491" s="26">
        <v>10</v>
      </c>
      <c r="G491" s="26" t="s">
        <v>1127</v>
      </c>
      <c r="H491" s="26" t="s">
        <v>739</v>
      </c>
      <c r="I491" s="26">
        <v>78000</v>
      </c>
      <c r="J491" s="17">
        <v>62400</v>
      </c>
      <c r="K491" s="17">
        <f t="shared" si="14"/>
        <v>624000</v>
      </c>
      <c r="L491" s="69">
        <f t="shared" si="15"/>
        <v>62400</v>
      </c>
    </row>
    <row r="492" spans="1:12" s="11" customFormat="1" ht="19.899999999999999" customHeight="1">
      <c r="A492" s="20">
        <v>488</v>
      </c>
      <c r="B492" s="77"/>
      <c r="C492" s="21" t="s">
        <v>1128</v>
      </c>
      <c r="D492" s="21"/>
      <c r="E492" s="28" t="s">
        <v>68</v>
      </c>
      <c r="F492" s="26">
        <v>10</v>
      </c>
      <c r="G492" s="26" t="s">
        <v>1124</v>
      </c>
      <c r="H492" s="26" t="s">
        <v>739</v>
      </c>
      <c r="I492" s="26">
        <v>80000</v>
      </c>
      <c r="J492" s="17">
        <v>64000</v>
      </c>
      <c r="K492" s="17">
        <f t="shared" si="14"/>
        <v>640000</v>
      </c>
      <c r="L492" s="69">
        <f t="shared" si="15"/>
        <v>64000</v>
      </c>
    </row>
    <row r="493" spans="1:12" s="11" customFormat="1">
      <c r="A493" s="20">
        <v>489</v>
      </c>
      <c r="B493" s="21" t="s">
        <v>1129</v>
      </c>
      <c r="C493" s="25" t="s">
        <v>1130</v>
      </c>
      <c r="D493" s="25"/>
      <c r="E493" s="28" t="s">
        <v>167</v>
      </c>
      <c r="F493" s="26">
        <v>2</v>
      </c>
      <c r="G493" s="26" t="s">
        <v>519</v>
      </c>
      <c r="H493" s="26" t="s">
        <v>520</v>
      </c>
      <c r="I493" s="26">
        <v>825000</v>
      </c>
      <c r="J493" s="17">
        <v>660000</v>
      </c>
      <c r="K493" s="17">
        <f t="shared" si="14"/>
        <v>1320000</v>
      </c>
      <c r="L493" s="69">
        <f t="shared" si="15"/>
        <v>660000</v>
      </c>
    </row>
    <row r="494" spans="1:12" ht="15.75" customHeight="1">
      <c r="A494" s="20">
        <v>490</v>
      </c>
      <c r="B494" s="21" t="s">
        <v>869</v>
      </c>
      <c r="C494" s="21" t="s">
        <v>237</v>
      </c>
      <c r="D494" s="21" t="s">
        <v>870</v>
      </c>
      <c r="E494" s="20" t="s">
        <v>68</v>
      </c>
      <c r="F494" s="16">
        <v>2</v>
      </c>
      <c r="G494" s="26" t="s">
        <v>871</v>
      </c>
      <c r="H494" s="26" t="s">
        <v>81</v>
      </c>
      <c r="I494" s="26">
        <v>235000</v>
      </c>
      <c r="J494" s="17">
        <v>188000</v>
      </c>
      <c r="K494" s="17">
        <f t="shared" si="14"/>
        <v>376000</v>
      </c>
      <c r="L494" s="69">
        <f t="shared" si="15"/>
        <v>188000</v>
      </c>
    </row>
    <row r="495" spans="1:12" ht="56.25" customHeight="1">
      <c r="A495" s="20">
        <v>491</v>
      </c>
      <c r="B495" s="21" t="s">
        <v>1131</v>
      </c>
      <c r="C495" s="21" t="s">
        <v>741</v>
      </c>
      <c r="D495" s="21" t="s">
        <v>1132</v>
      </c>
      <c r="E495" s="20" t="s">
        <v>65</v>
      </c>
      <c r="F495" s="16">
        <v>5</v>
      </c>
      <c r="G495" s="16" t="s">
        <v>868</v>
      </c>
      <c r="H495" s="16" t="s">
        <v>1060</v>
      </c>
      <c r="I495" s="16">
        <v>135000</v>
      </c>
      <c r="J495" s="17">
        <v>108000</v>
      </c>
      <c r="K495" s="17">
        <f t="shared" si="14"/>
        <v>540000</v>
      </c>
      <c r="L495" s="69">
        <f t="shared" si="15"/>
        <v>108000</v>
      </c>
    </row>
    <row r="496" spans="1:12" ht="105" customHeight="1">
      <c r="A496" s="20">
        <v>492</v>
      </c>
      <c r="B496" s="21" t="s">
        <v>1133</v>
      </c>
      <c r="C496" s="21" t="s">
        <v>1134</v>
      </c>
      <c r="D496" s="21" t="s">
        <v>1135</v>
      </c>
      <c r="E496" s="20" t="s">
        <v>156</v>
      </c>
      <c r="F496" s="16">
        <v>5</v>
      </c>
      <c r="G496" s="16" t="s">
        <v>1136</v>
      </c>
      <c r="H496" s="16" t="s">
        <v>1060</v>
      </c>
      <c r="I496" s="16">
        <v>85000</v>
      </c>
      <c r="J496" s="17">
        <v>68000</v>
      </c>
      <c r="K496" s="17">
        <f t="shared" si="14"/>
        <v>340000</v>
      </c>
      <c r="L496" s="69">
        <f t="shared" si="15"/>
        <v>68000</v>
      </c>
    </row>
    <row r="497" spans="1:12" ht="138" customHeight="1">
      <c r="A497" s="20">
        <v>493</v>
      </c>
      <c r="B497" s="25" t="s">
        <v>1137</v>
      </c>
      <c r="C497" s="21" t="s">
        <v>1138</v>
      </c>
      <c r="D497" s="21" t="s">
        <v>1139</v>
      </c>
      <c r="E497" s="20" t="s">
        <v>65</v>
      </c>
      <c r="F497" s="16">
        <v>1</v>
      </c>
      <c r="G497" s="16" t="s">
        <v>1140</v>
      </c>
      <c r="H497" s="16" t="s">
        <v>81</v>
      </c>
      <c r="I497" s="16">
        <v>3800000</v>
      </c>
      <c r="J497" s="17">
        <v>3450000</v>
      </c>
      <c r="K497" s="17">
        <f t="shared" si="14"/>
        <v>3450000</v>
      </c>
      <c r="L497" s="69">
        <f t="shared" si="15"/>
        <v>3040000</v>
      </c>
    </row>
    <row r="498" spans="1:12" ht="180" customHeight="1">
      <c r="A498" s="20">
        <v>494</v>
      </c>
      <c r="B498" s="21" t="s">
        <v>1141</v>
      </c>
      <c r="C498" s="21" t="s">
        <v>1142</v>
      </c>
      <c r="D498" s="21" t="s">
        <v>1433</v>
      </c>
      <c r="E498" s="20" t="s">
        <v>68</v>
      </c>
      <c r="F498" s="16">
        <v>2</v>
      </c>
      <c r="G498" s="16" t="s">
        <v>1140</v>
      </c>
      <c r="H498" s="16" t="s">
        <v>81</v>
      </c>
      <c r="I498" s="16">
        <v>1850000</v>
      </c>
      <c r="J498" s="17">
        <v>1550000</v>
      </c>
      <c r="K498" s="17">
        <f t="shared" si="14"/>
        <v>3100000</v>
      </c>
      <c r="L498" s="69">
        <f t="shared" si="15"/>
        <v>1480000</v>
      </c>
    </row>
    <row r="499" spans="1:12" ht="147" customHeight="1">
      <c r="A499" s="20">
        <v>495</v>
      </c>
      <c r="B499" s="21" t="s">
        <v>1143</v>
      </c>
      <c r="C499" s="21" t="s">
        <v>1144</v>
      </c>
      <c r="D499" s="21" t="s">
        <v>1145</v>
      </c>
      <c r="E499" s="20" t="s">
        <v>68</v>
      </c>
      <c r="F499" s="16">
        <v>2</v>
      </c>
      <c r="G499" s="16" t="s">
        <v>54</v>
      </c>
      <c r="H499" s="16" t="s">
        <v>81</v>
      </c>
      <c r="I499" s="16">
        <v>210000</v>
      </c>
      <c r="J499" s="17">
        <v>500000</v>
      </c>
      <c r="K499" s="17">
        <f t="shared" si="14"/>
        <v>1000000</v>
      </c>
      <c r="L499" s="69">
        <f t="shared" si="15"/>
        <v>168000</v>
      </c>
    </row>
    <row r="500" spans="1:12" ht="261" customHeight="1">
      <c r="A500" s="20">
        <v>496</v>
      </c>
      <c r="B500" s="21" t="s">
        <v>1146</v>
      </c>
      <c r="C500" s="21" t="s">
        <v>1147</v>
      </c>
      <c r="D500" s="21" t="s">
        <v>1148</v>
      </c>
      <c r="E500" s="20" t="s">
        <v>167</v>
      </c>
      <c r="F500" s="16">
        <v>3</v>
      </c>
      <c r="G500" s="16" t="s">
        <v>1140</v>
      </c>
      <c r="H500" s="16" t="s">
        <v>1149</v>
      </c>
      <c r="I500" s="16">
        <v>3855000</v>
      </c>
      <c r="J500" s="17">
        <v>3084000</v>
      </c>
      <c r="K500" s="17">
        <f t="shared" si="14"/>
        <v>9252000</v>
      </c>
      <c r="L500" s="69">
        <f t="shared" si="15"/>
        <v>3084000</v>
      </c>
    </row>
    <row r="501" spans="1:12" ht="103.15" customHeight="1">
      <c r="A501" s="20">
        <v>497</v>
      </c>
      <c r="B501" s="21" t="s">
        <v>1150</v>
      </c>
      <c r="C501" s="21" t="s">
        <v>1151</v>
      </c>
      <c r="D501" s="21" t="s">
        <v>1152</v>
      </c>
      <c r="E501" s="20" t="s">
        <v>65</v>
      </c>
      <c r="F501" s="16">
        <v>7</v>
      </c>
      <c r="G501" s="16" t="s">
        <v>1153</v>
      </c>
      <c r="H501" s="16" t="s">
        <v>160</v>
      </c>
      <c r="I501" s="16">
        <v>2850000</v>
      </c>
      <c r="J501" s="17">
        <v>2450000</v>
      </c>
      <c r="K501" s="17">
        <f t="shared" si="14"/>
        <v>17150000</v>
      </c>
      <c r="L501" s="69">
        <f t="shared" si="15"/>
        <v>2280000</v>
      </c>
    </row>
    <row r="502" spans="1:12" ht="145.15" customHeight="1">
      <c r="A502" s="20">
        <v>498</v>
      </c>
      <c r="B502" s="21" t="s">
        <v>1154</v>
      </c>
      <c r="C502" s="21" t="s">
        <v>1155</v>
      </c>
      <c r="D502" s="21" t="s">
        <v>1156</v>
      </c>
      <c r="E502" s="20" t="s">
        <v>65</v>
      </c>
      <c r="F502" s="16">
        <v>2</v>
      </c>
      <c r="G502" s="16" t="s">
        <v>1153</v>
      </c>
      <c r="H502" s="16" t="s">
        <v>160</v>
      </c>
      <c r="I502" s="16">
        <v>1399000</v>
      </c>
      <c r="J502" s="17">
        <v>1250000</v>
      </c>
      <c r="K502" s="17">
        <f t="shared" si="14"/>
        <v>2500000</v>
      </c>
      <c r="L502" s="69">
        <f t="shared" si="15"/>
        <v>1119200</v>
      </c>
    </row>
    <row r="503" spans="1:12" s="11" customFormat="1" ht="209.1" customHeight="1">
      <c r="A503" s="20">
        <v>499</v>
      </c>
      <c r="B503" s="24" t="s">
        <v>1157</v>
      </c>
      <c r="C503" s="41" t="s">
        <v>1158</v>
      </c>
      <c r="D503" s="21" t="s">
        <v>1159</v>
      </c>
      <c r="E503" s="28" t="s">
        <v>167</v>
      </c>
      <c r="F503" s="26">
        <v>1</v>
      </c>
      <c r="G503" s="26" t="s">
        <v>871</v>
      </c>
      <c r="H503" s="26" t="s">
        <v>81</v>
      </c>
      <c r="I503" s="26">
        <v>418000</v>
      </c>
      <c r="J503" s="17">
        <v>350000</v>
      </c>
      <c r="K503" s="17">
        <f t="shared" si="14"/>
        <v>350000</v>
      </c>
      <c r="L503" s="69">
        <f t="shared" si="15"/>
        <v>334400</v>
      </c>
    </row>
    <row r="504" spans="1:12" s="11" customFormat="1" ht="166.15" customHeight="1">
      <c r="A504" s="20">
        <v>500</v>
      </c>
      <c r="B504" s="32" t="s">
        <v>1160</v>
      </c>
      <c r="C504" s="21" t="s">
        <v>741</v>
      </c>
      <c r="D504" s="21" t="s">
        <v>1161</v>
      </c>
      <c r="E504" s="28" t="s">
        <v>68</v>
      </c>
      <c r="F504" s="26">
        <v>10</v>
      </c>
      <c r="G504" s="26" t="s">
        <v>1140</v>
      </c>
      <c r="H504" s="26" t="s">
        <v>81</v>
      </c>
      <c r="I504" s="26">
        <v>60000</v>
      </c>
      <c r="J504" s="17">
        <v>50000</v>
      </c>
      <c r="K504" s="17">
        <f t="shared" si="14"/>
        <v>500000</v>
      </c>
      <c r="L504" s="69">
        <f t="shared" si="15"/>
        <v>48000</v>
      </c>
    </row>
    <row r="505" spans="1:12" s="11" customFormat="1" ht="30" customHeight="1">
      <c r="A505" s="20">
        <v>501</v>
      </c>
      <c r="B505" s="32" t="s">
        <v>1162</v>
      </c>
      <c r="C505" s="21" t="s">
        <v>741</v>
      </c>
      <c r="D505" s="21"/>
      <c r="E505" s="28" t="s">
        <v>167</v>
      </c>
      <c r="F505" s="26">
        <v>5</v>
      </c>
      <c r="G505" s="26" t="s">
        <v>54</v>
      </c>
      <c r="H505" s="26" t="s">
        <v>15</v>
      </c>
      <c r="I505" s="26">
        <v>1000000</v>
      </c>
      <c r="J505" s="17">
        <v>800000</v>
      </c>
      <c r="K505" s="17">
        <f t="shared" si="14"/>
        <v>4000000</v>
      </c>
      <c r="L505" s="69">
        <f t="shared" si="15"/>
        <v>800000</v>
      </c>
    </row>
    <row r="506" spans="1:12" ht="15.75" customHeight="1">
      <c r="A506" s="20">
        <v>502</v>
      </c>
      <c r="B506" s="21" t="s">
        <v>1163</v>
      </c>
      <c r="C506" s="21" t="s">
        <v>1164</v>
      </c>
      <c r="D506" s="21" t="s">
        <v>1165</v>
      </c>
      <c r="E506" s="20" t="s">
        <v>68</v>
      </c>
      <c r="F506" s="16">
        <v>35</v>
      </c>
      <c r="G506" s="16" t="s">
        <v>1166</v>
      </c>
      <c r="H506" s="16" t="s">
        <v>160</v>
      </c>
      <c r="I506" s="16">
        <v>225000</v>
      </c>
      <c r="J506" s="17">
        <v>180000</v>
      </c>
      <c r="K506" s="17">
        <f t="shared" si="14"/>
        <v>6300000</v>
      </c>
      <c r="L506" s="69">
        <f t="shared" si="15"/>
        <v>180000</v>
      </c>
    </row>
    <row r="507" spans="1:12" ht="132" customHeight="1">
      <c r="A507" s="20">
        <v>503</v>
      </c>
      <c r="B507" s="21" t="s">
        <v>1167</v>
      </c>
      <c r="C507" s="21" t="s">
        <v>1168</v>
      </c>
      <c r="D507" s="21" t="s">
        <v>1169</v>
      </c>
      <c r="E507" s="20" t="s">
        <v>68</v>
      </c>
      <c r="F507" s="16">
        <v>10</v>
      </c>
      <c r="G507" s="16" t="s">
        <v>868</v>
      </c>
      <c r="H507" s="16" t="s">
        <v>81</v>
      </c>
      <c r="I507" s="16">
        <v>115000</v>
      </c>
      <c r="J507" s="17">
        <v>92000</v>
      </c>
      <c r="K507" s="17">
        <f t="shared" si="14"/>
        <v>920000</v>
      </c>
      <c r="L507" s="69">
        <f t="shared" si="15"/>
        <v>92000</v>
      </c>
    </row>
    <row r="508" spans="1:12" ht="141" customHeight="1">
      <c r="A508" s="20">
        <v>504</v>
      </c>
      <c r="B508" s="21" t="s">
        <v>1170</v>
      </c>
      <c r="C508" s="21" t="s">
        <v>1171</v>
      </c>
      <c r="D508" s="21" t="s">
        <v>1172</v>
      </c>
      <c r="E508" s="20" t="s">
        <v>68</v>
      </c>
      <c r="F508" s="16">
        <v>5</v>
      </c>
      <c r="G508" s="16" t="s">
        <v>1173</v>
      </c>
      <c r="H508" s="16" t="s">
        <v>160</v>
      </c>
      <c r="I508" s="16">
        <v>235000</v>
      </c>
      <c r="J508" s="17">
        <v>188000</v>
      </c>
      <c r="K508" s="17">
        <f t="shared" si="14"/>
        <v>940000</v>
      </c>
      <c r="L508" s="69">
        <f t="shared" si="15"/>
        <v>188000</v>
      </c>
    </row>
    <row r="509" spans="1:12" ht="15.75" customHeight="1">
      <c r="A509" s="20">
        <v>505</v>
      </c>
      <c r="B509" s="21" t="s">
        <v>1174</v>
      </c>
      <c r="C509" s="21" t="s">
        <v>1175</v>
      </c>
      <c r="D509" s="21"/>
      <c r="E509" s="20" t="s">
        <v>68</v>
      </c>
      <c r="F509" s="16">
        <v>15</v>
      </c>
      <c r="G509" s="16" t="s">
        <v>871</v>
      </c>
      <c r="H509" s="16" t="s">
        <v>81</v>
      </c>
      <c r="I509" s="16">
        <v>160000</v>
      </c>
      <c r="J509" s="17">
        <v>128000</v>
      </c>
      <c r="K509" s="17">
        <f t="shared" si="14"/>
        <v>1920000</v>
      </c>
      <c r="L509" s="69">
        <f t="shared" si="15"/>
        <v>128000</v>
      </c>
    </row>
    <row r="510" spans="1:12" ht="15.75" customHeight="1">
      <c r="A510" s="20">
        <v>506</v>
      </c>
      <c r="B510" s="21" t="s">
        <v>1176</v>
      </c>
      <c r="C510" s="21" t="s">
        <v>1177</v>
      </c>
      <c r="D510" s="21" t="s">
        <v>1177</v>
      </c>
      <c r="E510" s="20" t="s">
        <v>65</v>
      </c>
      <c r="F510" s="16">
        <v>5</v>
      </c>
      <c r="G510" s="16" t="s">
        <v>225</v>
      </c>
      <c r="H510" s="16" t="s">
        <v>81</v>
      </c>
      <c r="I510" s="16">
        <v>199000</v>
      </c>
      <c r="J510" s="17">
        <v>159200</v>
      </c>
      <c r="K510" s="17">
        <f t="shared" si="14"/>
        <v>796000</v>
      </c>
      <c r="L510" s="69">
        <f t="shared" si="15"/>
        <v>159200</v>
      </c>
    </row>
    <row r="511" spans="1:12" s="11" customFormat="1" ht="118.5" customHeight="1">
      <c r="A511" s="20">
        <v>507</v>
      </c>
      <c r="B511" s="25" t="s">
        <v>1178</v>
      </c>
      <c r="C511" s="25" t="s">
        <v>1179</v>
      </c>
      <c r="D511" s="25" t="s">
        <v>1180</v>
      </c>
      <c r="E511" s="28" t="s">
        <v>68</v>
      </c>
      <c r="F511" s="26">
        <v>18</v>
      </c>
      <c r="G511" s="26" t="s">
        <v>1181</v>
      </c>
      <c r="H511" s="26" t="s">
        <v>81</v>
      </c>
      <c r="I511" s="26">
        <v>700000</v>
      </c>
      <c r="J511" s="17">
        <v>600000</v>
      </c>
      <c r="K511" s="17">
        <f t="shared" si="14"/>
        <v>10800000</v>
      </c>
      <c r="L511" s="69">
        <f t="shared" si="15"/>
        <v>560000</v>
      </c>
    </row>
    <row r="512" spans="1:12" ht="91.5" customHeight="1">
      <c r="A512" s="20">
        <v>508</v>
      </c>
      <c r="B512" s="21" t="s">
        <v>1182</v>
      </c>
      <c r="C512" s="21" t="s">
        <v>1183</v>
      </c>
      <c r="D512" s="21" t="s">
        <v>1184</v>
      </c>
      <c r="E512" s="20" t="s">
        <v>68</v>
      </c>
      <c r="F512" s="16">
        <v>4</v>
      </c>
      <c r="G512" s="16" t="s">
        <v>1185</v>
      </c>
      <c r="H512" s="16" t="s">
        <v>160</v>
      </c>
      <c r="I512" s="16">
        <v>5812000</v>
      </c>
      <c r="J512" s="17">
        <v>4700000</v>
      </c>
      <c r="K512" s="17">
        <f t="shared" si="14"/>
        <v>18800000</v>
      </c>
      <c r="L512" s="69">
        <f t="shared" si="15"/>
        <v>4649600</v>
      </c>
    </row>
    <row r="513" spans="1:12" ht="111.75" customHeight="1">
      <c r="A513" s="20">
        <v>509</v>
      </c>
      <c r="B513" s="21" t="s">
        <v>1186</v>
      </c>
      <c r="C513" s="21" t="s">
        <v>1187</v>
      </c>
      <c r="D513" s="21" t="s">
        <v>1188</v>
      </c>
      <c r="E513" s="20" t="s">
        <v>65</v>
      </c>
      <c r="F513" s="16">
        <v>8</v>
      </c>
      <c r="G513" s="16" t="s">
        <v>1189</v>
      </c>
      <c r="H513" s="16" t="s">
        <v>160</v>
      </c>
      <c r="I513" s="16">
        <v>1713000</v>
      </c>
      <c r="J513" s="17">
        <v>1370400</v>
      </c>
      <c r="K513" s="17">
        <f t="shared" si="14"/>
        <v>10963200</v>
      </c>
      <c r="L513" s="69">
        <f t="shared" si="15"/>
        <v>1370400</v>
      </c>
    </row>
    <row r="514" spans="1:12" ht="123" customHeight="1">
      <c r="A514" s="20">
        <v>510</v>
      </c>
      <c r="B514" s="21" t="s">
        <v>1190</v>
      </c>
      <c r="C514" s="21" t="s">
        <v>1191</v>
      </c>
      <c r="D514" s="21" t="s">
        <v>1192</v>
      </c>
      <c r="E514" s="20" t="s">
        <v>68</v>
      </c>
      <c r="F514" s="16">
        <v>6</v>
      </c>
      <c r="G514" s="16" t="s">
        <v>1193</v>
      </c>
      <c r="H514" s="16" t="s">
        <v>1194</v>
      </c>
      <c r="I514" s="16">
        <v>325000</v>
      </c>
      <c r="J514" s="17">
        <v>305000</v>
      </c>
      <c r="K514" s="17">
        <f t="shared" ref="K514:K577" si="16">F514*J514</f>
        <v>1830000</v>
      </c>
      <c r="L514" s="69">
        <f t="shared" si="15"/>
        <v>260000</v>
      </c>
    </row>
    <row r="515" spans="1:12" ht="166.15" customHeight="1">
      <c r="A515" s="20">
        <v>511</v>
      </c>
      <c r="B515" s="21" t="s">
        <v>1195</v>
      </c>
      <c r="C515" s="21" t="s">
        <v>1196</v>
      </c>
      <c r="D515" s="21" t="s">
        <v>1197</v>
      </c>
      <c r="E515" s="20" t="s">
        <v>68</v>
      </c>
      <c r="F515" s="16">
        <v>6</v>
      </c>
      <c r="G515" s="16" t="s">
        <v>1193</v>
      </c>
      <c r="H515" s="16" t="s">
        <v>1194</v>
      </c>
      <c r="I515" s="16">
        <v>305000</v>
      </c>
      <c r="J515" s="17">
        <v>305000</v>
      </c>
      <c r="K515" s="17">
        <f t="shared" si="16"/>
        <v>1830000</v>
      </c>
      <c r="L515" s="69">
        <f t="shared" si="15"/>
        <v>244000</v>
      </c>
    </row>
    <row r="516" spans="1:12" ht="173.25">
      <c r="A516" s="20">
        <v>512</v>
      </c>
      <c r="B516" s="21" t="s">
        <v>1198</v>
      </c>
      <c r="C516" s="21" t="s">
        <v>1199</v>
      </c>
      <c r="D516" s="21" t="s">
        <v>1200</v>
      </c>
      <c r="E516" s="20" t="s">
        <v>68</v>
      </c>
      <c r="F516" s="16">
        <v>24</v>
      </c>
      <c r="G516" s="16" t="s">
        <v>1185</v>
      </c>
      <c r="H516" s="16" t="s">
        <v>160</v>
      </c>
      <c r="I516" s="16">
        <v>950000</v>
      </c>
      <c r="J516" s="17">
        <v>950000</v>
      </c>
      <c r="K516" s="17">
        <f t="shared" si="16"/>
        <v>22800000</v>
      </c>
      <c r="L516" s="69">
        <f t="shared" si="15"/>
        <v>760000</v>
      </c>
    </row>
    <row r="517" spans="1:12" s="11" customFormat="1" ht="136.15" customHeight="1">
      <c r="A517" s="20">
        <v>513</v>
      </c>
      <c r="B517" s="32" t="s">
        <v>1201</v>
      </c>
      <c r="C517" s="21" t="s">
        <v>1202</v>
      </c>
      <c r="D517" s="21" t="s">
        <v>1203</v>
      </c>
      <c r="E517" s="28" t="s">
        <v>167</v>
      </c>
      <c r="F517" s="26">
        <v>4</v>
      </c>
      <c r="G517" s="26" t="s">
        <v>857</v>
      </c>
      <c r="H517" s="26" t="s">
        <v>160</v>
      </c>
      <c r="I517" s="17">
        <v>1287000</v>
      </c>
      <c r="J517" s="17">
        <v>1100000</v>
      </c>
      <c r="K517" s="17">
        <f t="shared" si="16"/>
        <v>4400000</v>
      </c>
      <c r="L517" s="69">
        <f t="shared" si="15"/>
        <v>1029600</v>
      </c>
    </row>
    <row r="518" spans="1:12" s="12" customFormat="1" ht="70.150000000000006" customHeight="1">
      <c r="A518" s="20">
        <v>514</v>
      </c>
      <c r="B518" s="32" t="s">
        <v>1204</v>
      </c>
      <c r="C518" s="25" t="s">
        <v>1205</v>
      </c>
      <c r="D518" s="25" t="s">
        <v>1206</v>
      </c>
      <c r="E518" s="28" t="s">
        <v>167</v>
      </c>
      <c r="F518" s="26">
        <v>2</v>
      </c>
      <c r="G518" s="26" t="s">
        <v>857</v>
      </c>
      <c r="H518" s="26" t="s">
        <v>160</v>
      </c>
      <c r="I518" s="26">
        <v>3356000</v>
      </c>
      <c r="J518" s="17">
        <v>2684800</v>
      </c>
      <c r="K518" s="17">
        <f t="shared" si="16"/>
        <v>5369600</v>
      </c>
      <c r="L518" s="69">
        <f t="shared" ref="L518:L581" si="17">I518*80%</f>
        <v>2684800</v>
      </c>
    </row>
    <row r="519" spans="1:12" s="11" customFormat="1" ht="78.75">
      <c r="A519" s="20">
        <v>515</v>
      </c>
      <c r="B519" s="77" t="s">
        <v>1207</v>
      </c>
      <c r="C519" s="41" t="s">
        <v>1208</v>
      </c>
      <c r="D519" s="21" t="s">
        <v>1209</v>
      </c>
      <c r="E519" s="28" t="s">
        <v>68</v>
      </c>
      <c r="F519" s="26">
        <v>20</v>
      </c>
      <c r="G519" s="26" t="s">
        <v>857</v>
      </c>
      <c r="H519" s="26" t="s">
        <v>160</v>
      </c>
      <c r="I519" s="26">
        <v>836000</v>
      </c>
      <c r="J519" s="17">
        <v>668800</v>
      </c>
      <c r="K519" s="17">
        <f t="shared" si="16"/>
        <v>13376000</v>
      </c>
      <c r="L519" s="69">
        <f t="shared" si="17"/>
        <v>668800</v>
      </c>
    </row>
    <row r="520" spans="1:12" s="11" customFormat="1" ht="78.75">
      <c r="A520" s="20">
        <v>516</v>
      </c>
      <c r="B520" s="77"/>
      <c r="C520" s="41" t="s">
        <v>1210</v>
      </c>
      <c r="D520" s="21" t="s">
        <v>1211</v>
      </c>
      <c r="E520" s="28" t="s">
        <v>68</v>
      </c>
      <c r="F520" s="26">
        <v>4</v>
      </c>
      <c r="G520" s="26" t="s">
        <v>857</v>
      </c>
      <c r="H520" s="26" t="s">
        <v>160</v>
      </c>
      <c r="I520" s="26">
        <v>875000</v>
      </c>
      <c r="J520" s="17">
        <v>875000</v>
      </c>
      <c r="K520" s="17">
        <f t="shared" si="16"/>
        <v>3500000</v>
      </c>
      <c r="L520" s="69">
        <f t="shared" si="17"/>
        <v>700000</v>
      </c>
    </row>
    <row r="521" spans="1:12" s="11" customFormat="1" ht="94.15" customHeight="1">
      <c r="A521" s="20">
        <v>517</v>
      </c>
      <c r="B521" s="32" t="s">
        <v>1212</v>
      </c>
      <c r="C521" s="41" t="s">
        <v>1213</v>
      </c>
      <c r="D521" s="21" t="s">
        <v>1214</v>
      </c>
      <c r="E521" s="28" t="s">
        <v>68</v>
      </c>
      <c r="F521" s="26">
        <v>17</v>
      </c>
      <c r="G521" s="26" t="s">
        <v>857</v>
      </c>
      <c r="H521" s="26" t="s">
        <v>160</v>
      </c>
      <c r="I521" s="26">
        <v>2654000</v>
      </c>
      <c r="J521" s="17">
        <v>2123200</v>
      </c>
      <c r="K521" s="17">
        <f t="shared" si="16"/>
        <v>36094400</v>
      </c>
      <c r="L521" s="69">
        <f t="shared" si="17"/>
        <v>2123200</v>
      </c>
    </row>
    <row r="522" spans="1:12" s="11" customFormat="1" ht="142.5" customHeight="1">
      <c r="A522" s="20">
        <v>518</v>
      </c>
      <c r="B522" s="32" t="s">
        <v>1215</v>
      </c>
      <c r="C522" s="21" t="s">
        <v>1216</v>
      </c>
      <c r="D522" s="21" t="s">
        <v>1169</v>
      </c>
      <c r="E522" s="20" t="s">
        <v>68</v>
      </c>
      <c r="F522" s="16">
        <v>10</v>
      </c>
      <c r="G522" s="16" t="s">
        <v>868</v>
      </c>
      <c r="H522" s="16" t="s">
        <v>81</v>
      </c>
      <c r="I522" s="16">
        <v>115000</v>
      </c>
      <c r="J522" s="17">
        <v>92000</v>
      </c>
      <c r="K522" s="17">
        <f t="shared" si="16"/>
        <v>920000</v>
      </c>
      <c r="L522" s="69">
        <f t="shared" si="17"/>
        <v>92000</v>
      </c>
    </row>
    <row r="523" spans="1:12" s="11" customFormat="1" ht="19.899999999999999" customHeight="1">
      <c r="A523" s="20">
        <v>519</v>
      </c>
      <c r="B523" s="32" t="s">
        <v>1217</v>
      </c>
      <c r="C523" s="21" t="s">
        <v>741</v>
      </c>
      <c r="D523" s="21"/>
      <c r="E523" s="20" t="s">
        <v>68</v>
      </c>
      <c r="F523" s="26">
        <v>100</v>
      </c>
      <c r="G523" s="26" t="s">
        <v>54</v>
      </c>
      <c r="H523" s="26" t="s">
        <v>81</v>
      </c>
      <c r="I523" s="26">
        <v>115000</v>
      </c>
      <c r="J523" s="17">
        <v>92000</v>
      </c>
      <c r="K523" s="17">
        <f t="shared" si="16"/>
        <v>9200000</v>
      </c>
      <c r="L523" s="69">
        <f t="shared" si="17"/>
        <v>92000</v>
      </c>
    </row>
    <row r="524" spans="1:12" s="11" customFormat="1" ht="19.899999999999999" customHeight="1">
      <c r="A524" s="20">
        <v>520</v>
      </c>
      <c r="B524" s="32" t="s">
        <v>1218</v>
      </c>
      <c r="C524" s="21" t="s">
        <v>741</v>
      </c>
      <c r="D524" s="21"/>
      <c r="E524" s="20" t="s">
        <v>68</v>
      </c>
      <c r="F524" s="26">
        <v>45</v>
      </c>
      <c r="G524" s="26" t="s">
        <v>54</v>
      </c>
      <c r="H524" s="26" t="s">
        <v>81</v>
      </c>
      <c r="I524" s="26">
        <v>87000</v>
      </c>
      <c r="J524" s="17">
        <v>69600</v>
      </c>
      <c r="K524" s="17">
        <f t="shared" si="16"/>
        <v>3132000</v>
      </c>
      <c r="L524" s="69">
        <f t="shared" si="17"/>
        <v>69600</v>
      </c>
    </row>
    <row r="525" spans="1:12" s="11" customFormat="1" ht="53.25" customHeight="1">
      <c r="A525" s="20">
        <v>521</v>
      </c>
      <c r="B525" s="32" t="s">
        <v>1219</v>
      </c>
      <c r="C525" s="41" t="s">
        <v>1220</v>
      </c>
      <c r="D525" s="21" t="s">
        <v>1417</v>
      </c>
      <c r="E525" s="20" t="s">
        <v>68</v>
      </c>
      <c r="F525" s="26">
        <v>10</v>
      </c>
      <c r="G525" s="26" t="s">
        <v>868</v>
      </c>
      <c r="H525" s="26" t="s">
        <v>81</v>
      </c>
      <c r="I525" s="26">
        <v>225000</v>
      </c>
      <c r="J525" s="17">
        <v>225000</v>
      </c>
      <c r="K525" s="17">
        <f t="shared" si="16"/>
        <v>2250000</v>
      </c>
      <c r="L525" s="69">
        <f t="shared" si="17"/>
        <v>180000</v>
      </c>
    </row>
    <row r="526" spans="1:12" s="12" customFormat="1" ht="110.25" customHeight="1">
      <c r="A526" s="20">
        <v>522</v>
      </c>
      <c r="B526" s="43" t="s">
        <v>1221</v>
      </c>
      <c r="C526" s="50" t="s">
        <v>1222</v>
      </c>
      <c r="D526" s="50" t="s">
        <v>1222</v>
      </c>
      <c r="E526" s="51" t="s">
        <v>477</v>
      </c>
      <c r="F526" s="45">
        <v>2</v>
      </c>
      <c r="G526" s="45" t="s">
        <v>54</v>
      </c>
      <c r="H526" s="45" t="s">
        <v>15</v>
      </c>
      <c r="I526" s="45">
        <v>25000</v>
      </c>
      <c r="J526" s="17">
        <v>20000</v>
      </c>
      <c r="K526" s="17">
        <f t="shared" si="16"/>
        <v>40000</v>
      </c>
      <c r="L526" s="69">
        <f t="shared" si="17"/>
        <v>20000</v>
      </c>
    </row>
    <row r="527" spans="1:12" s="12" customFormat="1">
      <c r="A527" s="20">
        <v>523</v>
      </c>
      <c r="B527" s="46" t="s">
        <v>1223</v>
      </c>
      <c r="C527" s="52"/>
      <c r="D527" s="52"/>
      <c r="E527" s="44" t="s">
        <v>68</v>
      </c>
      <c r="F527" s="45">
        <v>62</v>
      </c>
      <c r="G527" s="45" t="s">
        <v>54</v>
      </c>
      <c r="H527" s="45" t="s">
        <v>15</v>
      </c>
      <c r="I527" s="45">
        <v>30000</v>
      </c>
      <c r="J527" s="17">
        <v>24000</v>
      </c>
      <c r="K527" s="17">
        <f t="shared" si="16"/>
        <v>1488000</v>
      </c>
      <c r="L527" s="69">
        <f t="shared" si="17"/>
        <v>24000</v>
      </c>
    </row>
    <row r="528" spans="1:12" s="12" customFormat="1">
      <c r="A528" s="20">
        <v>524</v>
      </c>
      <c r="B528" s="43" t="s">
        <v>1224</v>
      </c>
      <c r="C528" s="53"/>
      <c r="D528" s="53"/>
      <c r="E528" s="51" t="s">
        <v>477</v>
      </c>
      <c r="F528" s="45">
        <v>27</v>
      </c>
      <c r="G528" s="45" t="s">
        <v>54</v>
      </c>
      <c r="H528" s="45" t="s">
        <v>15</v>
      </c>
      <c r="I528" s="45">
        <v>35000</v>
      </c>
      <c r="J528" s="17">
        <v>35000</v>
      </c>
      <c r="K528" s="17">
        <f t="shared" si="16"/>
        <v>945000</v>
      </c>
      <c r="L528" s="69">
        <f t="shared" si="17"/>
        <v>28000</v>
      </c>
    </row>
    <row r="529" spans="1:12" s="12" customFormat="1">
      <c r="A529" s="20">
        <v>525</v>
      </c>
      <c r="B529" s="46" t="s">
        <v>1225</v>
      </c>
      <c r="C529" s="52"/>
      <c r="D529" s="52"/>
      <c r="E529" s="44" t="s">
        <v>477</v>
      </c>
      <c r="F529" s="45">
        <v>8</v>
      </c>
      <c r="G529" s="45" t="s">
        <v>54</v>
      </c>
      <c r="H529" s="45" t="s">
        <v>15</v>
      </c>
      <c r="I529" s="45">
        <v>15000</v>
      </c>
      <c r="J529" s="17">
        <v>12000</v>
      </c>
      <c r="K529" s="17">
        <f t="shared" si="16"/>
        <v>96000</v>
      </c>
      <c r="L529" s="69">
        <f t="shared" si="17"/>
        <v>12000</v>
      </c>
    </row>
    <row r="530" spans="1:12">
      <c r="A530" s="20">
        <v>526</v>
      </c>
      <c r="B530" s="46" t="s">
        <v>1226</v>
      </c>
      <c r="C530" s="52"/>
      <c r="D530" s="52"/>
      <c r="E530" s="44" t="s">
        <v>477</v>
      </c>
      <c r="F530" s="45">
        <v>40</v>
      </c>
      <c r="G530" s="45" t="s">
        <v>54</v>
      </c>
      <c r="H530" s="45" t="s">
        <v>15</v>
      </c>
      <c r="I530" s="45">
        <v>20000</v>
      </c>
      <c r="J530" s="17">
        <v>16000</v>
      </c>
      <c r="K530" s="17">
        <f t="shared" si="16"/>
        <v>640000</v>
      </c>
      <c r="L530" s="69">
        <f t="shared" si="17"/>
        <v>16000</v>
      </c>
    </row>
    <row r="531" spans="1:12">
      <c r="A531" s="20">
        <v>527</v>
      </c>
      <c r="B531" s="46" t="s">
        <v>1227</v>
      </c>
      <c r="C531" s="47" t="s">
        <v>1228</v>
      </c>
      <c r="D531" s="54" t="s">
        <v>1229</v>
      </c>
      <c r="E531" s="44" t="s">
        <v>477</v>
      </c>
      <c r="F531" s="45">
        <v>43</v>
      </c>
      <c r="G531" s="45" t="s">
        <v>1230</v>
      </c>
      <c r="H531" s="45" t="s">
        <v>81</v>
      </c>
      <c r="I531" s="45">
        <v>53000</v>
      </c>
      <c r="J531" s="17">
        <v>42400</v>
      </c>
      <c r="K531" s="17">
        <f t="shared" si="16"/>
        <v>1823200</v>
      </c>
      <c r="L531" s="69">
        <f t="shared" si="17"/>
        <v>42400</v>
      </c>
    </row>
    <row r="532" spans="1:12" s="12" customFormat="1" ht="30">
      <c r="A532" s="20">
        <v>528</v>
      </c>
      <c r="B532" s="46" t="s">
        <v>1231</v>
      </c>
      <c r="C532" s="47" t="s">
        <v>1232</v>
      </c>
      <c r="D532" s="47"/>
      <c r="E532" s="44" t="s">
        <v>477</v>
      </c>
      <c r="F532" s="45">
        <v>28</v>
      </c>
      <c r="G532" s="45" t="s">
        <v>54</v>
      </c>
      <c r="H532" s="45" t="s">
        <v>15</v>
      </c>
      <c r="I532" s="45">
        <v>10000</v>
      </c>
      <c r="J532" s="17">
        <v>8000</v>
      </c>
      <c r="K532" s="17">
        <f t="shared" si="16"/>
        <v>224000</v>
      </c>
      <c r="L532" s="69">
        <f t="shared" si="17"/>
        <v>8000</v>
      </c>
    </row>
    <row r="533" spans="1:12" s="11" customFormat="1" ht="143.1" customHeight="1">
      <c r="A533" s="20">
        <v>529</v>
      </c>
      <c r="B533" s="32" t="s">
        <v>1233</v>
      </c>
      <c r="C533" s="21" t="s">
        <v>1234</v>
      </c>
      <c r="D533" s="21" t="s">
        <v>1235</v>
      </c>
      <c r="E533" s="28" t="s">
        <v>1236</v>
      </c>
      <c r="F533" s="26">
        <v>10</v>
      </c>
      <c r="G533" s="26" t="s">
        <v>1237</v>
      </c>
      <c r="H533" s="26" t="s">
        <v>15</v>
      </c>
      <c r="I533" s="26">
        <v>265000</v>
      </c>
      <c r="J533" s="17">
        <v>212000</v>
      </c>
      <c r="K533" s="17">
        <f t="shared" si="16"/>
        <v>2120000</v>
      </c>
      <c r="L533" s="69">
        <f t="shared" si="17"/>
        <v>212000</v>
      </c>
    </row>
    <row r="534" spans="1:12" s="12" customFormat="1" ht="60">
      <c r="A534" s="20">
        <v>530</v>
      </c>
      <c r="B534" s="46" t="s">
        <v>1238</v>
      </c>
      <c r="C534" s="47" t="s">
        <v>1238</v>
      </c>
      <c r="D534" s="47" t="s">
        <v>1239</v>
      </c>
      <c r="E534" s="44" t="s">
        <v>1236</v>
      </c>
      <c r="F534" s="45">
        <v>230</v>
      </c>
      <c r="G534" s="26" t="s">
        <v>1237</v>
      </c>
      <c r="H534" s="26" t="s">
        <v>15</v>
      </c>
      <c r="I534" s="45">
        <v>10000</v>
      </c>
      <c r="J534" s="17">
        <v>8000</v>
      </c>
      <c r="K534" s="17">
        <f t="shared" si="16"/>
        <v>1840000</v>
      </c>
      <c r="L534" s="69">
        <f t="shared" si="17"/>
        <v>8000</v>
      </c>
    </row>
    <row r="535" spans="1:12" s="12" customFormat="1" ht="60">
      <c r="A535" s="20">
        <v>531</v>
      </c>
      <c r="B535" s="46" t="s">
        <v>1240</v>
      </c>
      <c r="C535" s="47" t="s">
        <v>1240</v>
      </c>
      <c r="D535" s="47" t="s">
        <v>1239</v>
      </c>
      <c r="E535" s="44" t="s">
        <v>1236</v>
      </c>
      <c r="F535" s="45">
        <v>333</v>
      </c>
      <c r="G535" s="26" t="s">
        <v>1237</v>
      </c>
      <c r="H535" s="26" t="s">
        <v>15</v>
      </c>
      <c r="I535" s="45">
        <v>13000</v>
      </c>
      <c r="J535" s="17">
        <v>10400</v>
      </c>
      <c r="K535" s="17">
        <f t="shared" si="16"/>
        <v>3463200</v>
      </c>
      <c r="L535" s="69">
        <f t="shared" si="17"/>
        <v>10400</v>
      </c>
    </row>
    <row r="536" spans="1:12" s="12" customFormat="1" ht="60">
      <c r="A536" s="20">
        <v>532</v>
      </c>
      <c r="B536" s="46" t="s">
        <v>1241</v>
      </c>
      <c r="C536" s="47" t="s">
        <v>1242</v>
      </c>
      <c r="D536" s="47" t="s">
        <v>1239</v>
      </c>
      <c r="E536" s="44" t="s">
        <v>1236</v>
      </c>
      <c r="F536" s="45">
        <v>333</v>
      </c>
      <c r="G536" s="26" t="s">
        <v>1237</v>
      </c>
      <c r="H536" s="26" t="s">
        <v>15</v>
      </c>
      <c r="I536" s="45">
        <v>21000</v>
      </c>
      <c r="J536" s="17">
        <v>16800</v>
      </c>
      <c r="K536" s="17">
        <f t="shared" si="16"/>
        <v>5594400</v>
      </c>
      <c r="L536" s="69">
        <f t="shared" si="17"/>
        <v>16800</v>
      </c>
    </row>
    <row r="537" spans="1:12" s="12" customFormat="1" ht="60">
      <c r="A537" s="20">
        <v>533</v>
      </c>
      <c r="B537" s="43" t="s">
        <v>1243</v>
      </c>
      <c r="C537" s="50" t="s">
        <v>1244</v>
      </c>
      <c r="D537" s="47" t="s">
        <v>1239</v>
      </c>
      <c r="E537" s="51" t="s">
        <v>1236</v>
      </c>
      <c r="F537" s="45">
        <v>362</v>
      </c>
      <c r="G537" s="26" t="s">
        <v>1237</v>
      </c>
      <c r="H537" s="26" t="s">
        <v>15</v>
      </c>
      <c r="I537" s="45">
        <v>10000</v>
      </c>
      <c r="J537" s="17">
        <v>8000</v>
      </c>
      <c r="K537" s="17">
        <f t="shared" si="16"/>
        <v>2896000</v>
      </c>
      <c r="L537" s="69">
        <f t="shared" si="17"/>
        <v>8000</v>
      </c>
    </row>
    <row r="538" spans="1:12" ht="60">
      <c r="A538" s="20">
        <v>534</v>
      </c>
      <c r="B538" s="46" t="s">
        <v>1245</v>
      </c>
      <c r="C538" s="47" t="s">
        <v>1246</v>
      </c>
      <c r="D538" s="47" t="s">
        <v>1239</v>
      </c>
      <c r="E538" s="44" t="s">
        <v>1236</v>
      </c>
      <c r="F538" s="45">
        <v>409</v>
      </c>
      <c r="G538" s="26" t="s">
        <v>1237</v>
      </c>
      <c r="H538" s="26" t="s">
        <v>15</v>
      </c>
      <c r="I538" s="45">
        <v>15000</v>
      </c>
      <c r="J538" s="17">
        <v>12000</v>
      </c>
      <c r="K538" s="17">
        <f t="shared" si="16"/>
        <v>4908000</v>
      </c>
      <c r="L538" s="69">
        <f t="shared" si="17"/>
        <v>12000</v>
      </c>
    </row>
    <row r="539" spans="1:12" s="12" customFormat="1" ht="60">
      <c r="A539" s="20">
        <v>535</v>
      </c>
      <c r="B539" s="46" t="s">
        <v>1247</v>
      </c>
      <c r="C539" s="47" t="s">
        <v>1248</v>
      </c>
      <c r="D539" s="47" t="s">
        <v>1239</v>
      </c>
      <c r="E539" s="44" t="s">
        <v>1236</v>
      </c>
      <c r="F539" s="45">
        <v>333</v>
      </c>
      <c r="G539" s="26" t="s">
        <v>1237</v>
      </c>
      <c r="H539" s="26" t="s">
        <v>15</v>
      </c>
      <c r="I539" s="45">
        <v>24000</v>
      </c>
      <c r="J539" s="17">
        <v>19200</v>
      </c>
      <c r="K539" s="17">
        <f t="shared" si="16"/>
        <v>6393600</v>
      </c>
      <c r="L539" s="69">
        <f t="shared" si="17"/>
        <v>19200</v>
      </c>
    </row>
    <row r="540" spans="1:12" s="12" customFormat="1" ht="60">
      <c r="A540" s="20">
        <v>536</v>
      </c>
      <c r="B540" s="46" t="s">
        <v>1249</v>
      </c>
      <c r="C540" s="47" t="s">
        <v>1250</v>
      </c>
      <c r="D540" s="47" t="s">
        <v>1239</v>
      </c>
      <c r="E540" s="44" t="s">
        <v>1236</v>
      </c>
      <c r="F540" s="45">
        <v>37</v>
      </c>
      <c r="G540" s="26" t="s">
        <v>1237</v>
      </c>
      <c r="H540" s="26" t="s">
        <v>15</v>
      </c>
      <c r="I540" s="45">
        <v>45000</v>
      </c>
      <c r="J540" s="17">
        <v>36000</v>
      </c>
      <c r="K540" s="17">
        <f t="shared" si="16"/>
        <v>1332000</v>
      </c>
      <c r="L540" s="69">
        <f t="shared" si="17"/>
        <v>36000</v>
      </c>
    </row>
    <row r="541" spans="1:12" ht="150">
      <c r="A541" s="20">
        <v>537</v>
      </c>
      <c r="B541" s="46" t="s">
        <v>1251</v>
      </c>
      <c r="C541" s="47" t="s">
        <v>1252</v>
      </c>
      <c r="D541" s="47" t="s">
        <v>1253</v>
      </c>
      <c r="E541" s="44" t="s">
        <v>418</v>
      </c>
      <c r="F541" s="45">
        <v>235</v>
      </c>
      <c r="G541" s="45" t="s">
        <v>1254</v>
      </c>
      <c r="H541" s="45" t="s">
        <v>15</v>
      </c>
      <c r="I541" s="45">
        <v>40000</v>
      </c>
      <c r="J541" s="17">
        <v>40000</v>
      </c>
      <c r="K541" s="17">
        <f t="shared" si="16"/>
        <v>9400000</v>
      </c>
      <c r="L541" s="69">
        <f t="shared" si="17"/>
        <v>32000</v>
      </c>
    </row>
    <row r="542" spans="1:12" ht="150">
      <c r="A542" s="20">
        <v>538</v>
      </c>
      <c r="B542" s="46" t="s">
        <v>1255</v>
      </c>
      <c r="C542" s="47" t="s">
        <v>1256</v>
      </c>
      <c r="D542" s="47" t="s">
        <v>1253</v>
      </c>
      <c r="E542" s="44" t="s">
        <v>418</v>
      </c>
      <c r="F542" s="45">
        <v>1145</v>
      </c>
      <c r="G542" s="45" t="s">
        <v>1254</v>
      </c>
      <c r="H542" s="45" t="s">
        <v>15</v>
      </c>
      <c r="I542" s="45">
        <v>42000</v>
      </c>
      <c r="J542" s="17">
        <v>42000</v>
      </c>
      <c r="K542" s="17">
        <f t="shared" si="16"/>
        <v>48090000</v>
      </c>
      <c r="L542" s="69">
        <f t="shared" si="17"/>
        <v>33600</v>
      </c>
    </row>
    <row r="543" spans="1:12">
      <c r="A543" s="20">
        <v>539</v>
      </c>
      <c r="B543" s="46" t="s">
        <v>1257</v>
      </c>
      <c r="C543" s="50" t="s">
        <v>1258</v>
      </c>
      <c r="D543" s="50"/>
      <c r="E543" s="44" t="s">
        <v>418</v>
      </c>
      <c r="F543" s="45">
        <v>100</v>
      </c>
      <c r="G543" s="45" t="s">
        <v>1259</v>
      </c>
      <c r="H543" s="45" t="s">
        <v>1149</v>
      </c>
      <c r="I543" s="45">
        <v>125000</v>
      </c>
      <c r="J543" s="17">
        <v>100000</v>
      </c>
      <c r="K543" s="17">
        <f t="shared" si="16"/>
        <v>10000000</v>
      </c>
      <c r="L543" s="69">
        <f t="shared" si="17"/>
        <v>100000</v>
      </c>
    </row>
    <row r="544" spans="1:12" s="12" customFormat="1" ht="90">
      <c r="A544" s="20">
        <v>540</v>
      </c>
      <c r="B544" s="43" t="s">
        <v>1260</v>
      </c>
      <c r="C544" s="50" t="s">
        <v>1261</v>
      </c>
      <c r="D544" s="50" t="s">
        <v>1262</v>
      </c>
      <c r="E544" s="51" t="s">
        <v>289</v>
      </c>
      <c r="F544" s="45">
        <v>1</v>
      </c>
      <c r="G544" s="45" t="s">
        <v>1254</v>
      </c>
      <c r="H544" s="45" t="s">
        <v>15</v>
      </c>
      <c r="I544" s="45">
        <v>840000</v>
      </c>
      <c r="J544" s="17">
        <v>672000</v>
      </c>
      <c r="K544" s="17">
        <f t="shared" si="16"/>
        <v>672000</v>
      </c>
      <c r="L544" s="69">
        <f t="shared" si="17"/>
        <v>672000</v>
      </c>
    </row>
    <row r="545" spans="1:12" s="12" customFormat="1" ht="90">
      <c r="A545" s="20">
        <v>541</v>
      </c>
      <c r="B545" s="43" t="s">
        <v>1263</v>
      </c>
      <c r="C545" s="50" t="s">
        <v>1264</v>
      </c>
      <c r="D545" s="50" t="s">
        <v>1265</v>
      </c>
      <c r="E545" s="51" t="s">
        <v>289</v>
      </c>
      <c r="F545" s="45">
        <v>21</v>
      </c>
      <c r="G545" s="45" t="s">
        <v>1254</v>
      </c>
      <c r="H545" s="45" t="s">
        <v>15</v>
      </c>
      <c r="I545" s="45">
        <v>750000</v>
      </c>
      <c r="J545" s="17">
        <v>600000</v>
      </c>
      <c r="K545" s="17">
        <f t="shared" si="16"/>
        <v>12600000</v>
      </c>
      <c r="L545" s="69">
        <f t="shared" si="17"/>
        <v>600000</v>
      </c>
    </row>
    <row r="546" spans="1:12" s="12" customFormat="1" ht="30">
      <c r="A546" s="20">
        <v>542</v>
      </c>
      <c r="B546" s="46" t="s">
        <v>1266</v>
      </c>
      <c r="C546" s="50" t="s">
        <v>1267</v>
      </c>
      <c r="D546" s="50" t="s">
        <v>1268</v>
      </c>
      <c r="E546" s="44" t="s">
        <v>289</v>
      </c>
      <c r="F546" s="45">
        <v>16</v>
      </c>
      <c r="G546" s="45" t="s">
        <v>1259</v>
      </c>
      <c r="H546" s="45" t="s">
        <v>1149</v>
      </c>
      <c r="I546" s="45">
        <v>1005000</v>
      </c>
      <c r="J546" s="17">
        <v>804000</v>
      </c>
      <c r="K546" s="17">
        <f t="shared" si="16"/>
        <v>12864000</v>
      </c>
      <c r="L546" s="69">
        <f t="shared" si="17"/>
        <v>804000</v>
      </c>
    </row>
    <row r="547" spans="1:12">
      <c r="A547" s="20">
        <v>543</v>
      </c>
      <c r="B547" s="46" t="s">
        <v>1269</v>
      </c>
      <c r="C547" s="52" t="s">
        <v>1270</v>
      </c>
      <c r="D547" s="52"/>
      <c r="E547" s="44" t="s">
        <v>1271</v>
      </c>
      <c r="F547" s="45">
        <v>23</v>
      </c>
      <c r="G547" s="45" t="s">
        <v>54</v>
      </c>
      <c r="H547" s="45" t="s">
        <v>15</v>
      </c>
      <c r="I547" s="45">
        <v>135000</v>
      </c>
      <c r="J547" s="17">
        <v>300000</v>
      </c>
      <c r="K547" s="17">
        <f t="shared" si="16"/>
        <v>6900000</v>
      </c>
      <c r="L547" s="69">
        <f t="shared" si="17"/>
        <v>108000</v>
      </c>
    </row>
    <row r="548" spans="1:12">
      <c r="A548" s="20">
        <v>544</v>
      </c>
      <c r="B548" s="43" t="s">
        <v>1272</v>
      </c>
      <c r="C548" s="52" t="s">
        <v>1270</v>
      </c>
      <c r="D548" s="52"/>
      <c r="E548" s="51" t="s">
        <v>1271</v>
      </c>
      <c r="F548" s="45">
        <v>46</v>
      </c>
      <c r="G548" s="45" t="s">
        <v>54</v>
      </c>
      <c r="H548" s="45" t="s">
        <v>15</v>
      </c>
      <c r="I548" s="45">
        <v>130000</v>
      </c>
      <c r="J548" s="17">
        <v>300000</v>
      </c>
      <c r="K548" s="17">
        <f t="shared" si="16"/>
        <v>13800000</v>
      </c>
      <c r="L548" s="69">
        <f t="shared" si="17"/>
        <v>104000</v>
      </c>
    </row>
    <row r="549" spans="1:12">
      <c r="A549" s="20">
        <v>545</v>
      </c>
      <c r="B549" s="46" t="s">
        <v>1273</v>
      </c>
      <c r="C549" s="52" t="s">
        <v>1270</v>
      </c>
      <c r="D549" s="52"/>
      <c r="E549" s="44" t="s">
        <v>1271</v>
      </c>
      <c r="F549" s="45">
        <v>246</v>
      </c>
      <c r="G549" s="45" t="s">
        <v>54</v>
      </c>
      <c r="H549" s="45" t="s">
        <v>15</v>
      </c>
      <c r="I549" s="45">
        <v>135000</v>
      </c>
      <c r="J549" s="17">
        <v>108000</v>
      </c>
      <c r="K549" s="17">
        <f t="shared" si="16"/>
        <v>26568000</v>
      </c>
      <c r="L549" s="69">
        <f t="shared" si="17"/>
        <v>108000</v>
      </c>
    </row>
    <row r="550" spans="1:12" ht="30">
      <c r="A550" s="20">
        <v>546</v>
      </c>
      <c r="B550" s="46" t="s">
        <v>1274</v>
      </c>
      <c r="C550" s="52" t="s">
        <v>1275</v>
      </c>
      <c r="D550" s="52"/>
      <c r="E550" s="44" t="s">
        <v>695</v>
      </c>
      <c r="F550" s="45">
        <v>57</v>
      </c>
      <c r="G550" s="45" t="s">
        <v>1276</v>
      </c>
      <c r="H550" s="45" t="s">
        <v>15</v>
      </c>
      <c r="I550" s="45">
        <v>675000</v>
      </c>
      <c r="J550" s="17">
        <v>540000</v>
      </c>
      <c r="K550" s="17">
        <f t="shared" si="16"/>
        <v>30780000</v>
      </c>
      <c r="L550" s="69">
        <f t="shared" si="17"/>
        <v>540000</v>
      </c>
    </row>
    <row r="551" spans="1:12" s="11" customFormat="1" ht="18" customHeight="1">
      <c r="A551" s="20">
        <v>547</v>
      </c>
      <c r="B551" s="77" t="s">
        <v>1277</v>
      </c>
      <c r="C551" s="41" t="s">
        <v>1278</v>
      </c>
      <c r="D551" s="21"/>
      <c r="E551" s="28" t="s">
        <v>68</v>
      </c>
      <c r="F551" s="26">
        <v>100</v>
      </c>
      <c r="G551" s="26" t="s">
        <v>54</v>
      </c>
      <c r="H551" s="45" t="s">
        <v>15</v>
      </c>
      <c r="I551" s="26">
        <v>5000</v>
      </c>
      <c r="J551" s="17">
        <v>4000</v>
      </c>
      <c r="K551" s="17">
        <f t="shared" si="16"/>
        <v>400000</v>
      </c>
      <c r="L551" s="69">
        <f t="shared" si="17"/>
        <v>4000</v>
      </c>
    </row>
    <row r="552" spans="1:12" s="11" customFormat="1" ht="18" customHeight="1">
      <c r="A552" s="20">
        <v>548</v>
      </c>
      <c r="B552" s="77"/>
      <c r="C552" s="41" t="s">
        <v>1279</v>
      </c>
      <c r="D552" s="21"/>
      <c r="E552" s="28" t="s">
        <v>68</v>
      </c>
      <c r="F552" s="26">
        <v>160</v>
      </c>
      <c r="G552" s="26" t="s">
        <v>54</v>
      </c>
      <c r="H552" s="45" t="s">
        <v>15</v>
      </c>
      <c r="I552" s="26">
        <v>6000</v>
      </c>
      <c r="J552" s="17">
        <v>4800</v>
      </c>
      <c r="K552" s="17">
        <f t="shared" si="16"/>
        <v>768000</v>
      </c>
      <c r="L552" s="69">
        <f t="shared" si="17"/>
        <v>4800</v>
      </c>
    </row>
    <row r="553" spans="1:12" s="11" customFormat="1" ht="18" customHeight="1">
      <c r="A553" s="20">
        <v>549</v>
      </c>
      <c r="B553" s="77"/>
      <c r="C553" s="41" t="s">
        <v>1280</v>
      </c>
      <c r="D553" s="21"/>
      <c r="E553" s="28" t="s">
        <v>68</v>
      </c>
      <c r="F553" s="16">
        <v>100</v>
      </c>
      <c r="G553" s="26" t="s">
        <v>54</v>
      </c>
      <c r="H553" s="45" t="s">
        <v>15</v>
      </c>
      <c r="I553" s="16">
        <v>15000</v>
      </c>
      <c r="J553" s="17">
        <v>12000</v>
      </c>
      <c r="K553" s="17">
        <f t="shared" si="16"/>
        <v>1200000</v>
      </c>
      <c r="L553" s="69">
        <f t="shared" si="17"/>
        <v>12000</v>
      </c>
    </row>
    <row r="554" spans="1:12" s="11" customFormat="1" ht="18" customHeight="1">
      <c r="A554" s="20">
        <v>550</v>
      </c>
      <c r="B554" s="77"/>
      <c r="C554" s="41" t="s">
        <v>1281</v>
      </c>
      <c r="D554" s="21"/>
      <c r="E554" s="28" t="s">
        <v>68</v>
      </c>
      <c r="F554" s="16">
        <v>100</v>
      </c>
      <c r="G554" s="26" t="s">
        <v>54</v>
      </c>
      <c r="H554" s="45" t="s">
        <v>15</v>
      </c>
      <c r="I554" s="16">
        <v>18000</v>
      </c>
      <c r="J554" s="17">
        <v>14400</v>
      </c>
      <c r="K554" s="17">
        <f t="shared" si="16"/>
        <v>1440000</v>
      </c>
      <c r="L554" s="69">
        <f t="shared" si="17"/>
        <v>14400</v>
      </c>
    </row>
    <row r="555" spans="1:12" s="11" customFormat="1" ht="19.899999999999999" customHeight="1">
      <c r="A555" s="20">
        <v>551</v>
      </c>
      <c r="B555" s="21" t="s">
        <v>1282</v>
      </c>
      <c r="C555" s="21" t="s">
        <v>1283</v>
      </c>
      <c r="D555" s="21"/>
      <c r="E555" s="20" t="s">
        <v>167</v>
      </c>
      <c r="F555" s="16">
        <v>35</v>
      </c>
      <c r="G555" s="26" t="s">
        <v>54</v>
      </c>
      <c r="H555" s="45" t="s">
        <v>15</v>
      </c>
      <c r="I555" s="16">
        <v>10000</v>
      </c>
      <c r="J555" s="17">
        <v>8000</v>
      </c>
      <c r="K555" s="17">
        <f t="shared" si="16"/>
        <v>280000</v>
      </c>
      <c r="L555" s="69">
        <f t="shared" si="17"/>
        <v>8000</v>
      </c>
    </row>
    <row r="556" spans="1:12" s="11" customFormat="1" ht="110.1" customHeight="1">
      <c r="A556" s="20">
        <v>552</v>
      </c>
      <c r="B556" s="21" t="s">
        <v>1284</v>
      </c>
      <c r="C556" s="21" t="s">
        <v>1285</v>
      </c>
      <c r="D556" s="21" t="s">
        <v>1286</v>
      </c>
      <c r="E556" s="20" t="s">
        <v>68</v>
      </c>
      <c r="F556" s="16">
        <v>200</v>
      </c>
      <c r="G556" s="16" t="s">
        <v>54</v>
      </c>
      <c r="H556" s="16" t="s">
        <v>1287</v>
      </c>
      <c r="I556" s="16">
        <v>2000</v>
      </c>
      <c r="J556" s="17">
        <v>1600</v>
      </c>
      <c r="K556" s="17">
        <f t="shared" si="16"/>
        <v>320000</v>
      </c>
      <c r="L556" s="69">
        <f t="shared" si="17"/>
        <v>1600</v>
      </c>
    </row>
    <row r="557" spans="1:12" s="11" customFormat="1" ht="208.15" customHeight="1">
      <c r="A557" s="20">
        <v>553</v>
      </c>
      <c r="B557" s="32" t="s">
        <v>1288</v>
      </c>
      <c r="C557" s="21" t="s">
        <v>1289</v>
      </c>
      <c r="D557" s="21" t="s">
        <v>1290</v>
      </c>
      <c r="E557" s="28" t="s">
        <v>522</v>
      </c>
      <c r="F557" s="26">
        <v>15</v>
      </c>
      <c r="G557" s="26" t="s">
        <v>1291</v>
      </c>
      <c r="H557" s="26" t="s">
        <v>1292</v>
      </c>
      <c r="I557" s="26">
        <v>135000</v>
      </c>
      <c r="J557" s="17">
        <v>108000</v>
      </c>
      <c r="K557" s="17">
        <f t="shared" si="16"/>
        <v>1620000</v>
      </c>
      <c r="L557" s="69">
        <f t="shared" si="17"/>
        <v>108000</v>
      </c>
    </row>
    <row r="558" spans="1:12" s="11" customFormat="1" ht="19.899999999999999" customHeight="1">
      <c r="A558" s="20">
        <v>554</v>
      </c>
      <c r="B558" s="32" t="s">
        <v>1293</v>
      </c>
      <c r="C558" s="21" t="s">
        <v>741</v>
      </c>
      <c r="D558" s="21"/>
      <c r="E558" s="28" t="s">
        <v>563</v>
      </c>
      <c r="F558" s="26">
        <v>6</v>
      </c>
      <c r="G558" s="26"/>
      <c r="H558" s="26"/>
      <c r="I558" s="26">
        <v>35000</v>
      </c>
      <c r="J558" s="17">
        <v>28000</v>
      </c>
      <c r="K558" s="17">
        <f t="shared" si="16"/>
        <v>168000</v>
      </c>
      <c r="L558" s="69">
        <f t="shared" si="17"/>
        <v>28000</v>
      </c>
    </row>
    <row r="559" spans="1:12" s="11" customFormat="1" ht="19.5" customHeight="1">
      <c r="A559" s="20">
        <v>555</v>
      </c>
      <c r="B559" s="77" t="s">
        <v>1294</v>
      </c>
      <c r="C559" s="41" t="s">
        <v>1295</v>
      </c>
      <c r="D559" s="21"/>
      <c r="E559" s="28" t="s">
        <v>68</v>
      </c>
      <c r="F559" s="26">
        <v>110</v>
      </c>
      <c r="G559" s="26"/>
      <c r="H559" s="26"/>
      <c r="I559" s="26">
        <v>38000</v>
      </c>
      <c r="J559" s="17">
        <v>30400</v>
      </c>
      <c r="K559" s="17">
        <f t="shared" si="16"/>
        <v>3344000</v>
      </c>
      <c r="L559" s="69">
        <f t="shared" si="17"/>
        <v>30400</v>
      </c>
    </row>
    <row r="560" spans="1:12" s="11" customFormat="1" ht="19.5" customHeight="1">
      <c r="A560" s="20">
        <v>556</v>
      </c>
      <c r="B560" s="77"/>
      <c r="C560" s="41" t="s">
        <v>1296</v>
      </c>
      <c r="D560" s="21"/>
      <c r="E560" s="28" t="s">
        <v>68</v>
      </c>
      <c r="F560" s="26">
        <v>100</v>
      </c>
      <c r="G560" s="26"/>
      <c r="H560" s="26"/>
      <c r="I560" s="26">
        <v>25000</v>
      </c>
      <c r="J560" s="17">
        <v>20000</v>
      </c>
      <c r="K560" s="17">
        <f t="shared" si="16"/>
        <v>2000000</v>
      </c>
      <c r="L560" s="69">
        <f t="shared" si="17"/>
        <v>20000</v>
      </c>
    </row>
    <row r="561" spans="1:12" s="11" customFormat="1" ht="19.899999999999999" customHeight="1">
      <c r="A561" s="20">
        <v>557</v>
      </c>
      <c r="B561" s="32" t="s">
        <v>1297</v>
      </c>
      <c r="C561" s="21" t="s">
        <v>741</v>
      </c>
      <c r="D561" s="21"/>
      <c r="E561" s="20" t="s">
        <v>512</v>
      </c>
      <c r="F561" s="16">
        <v>10</v>
      </c>
      <c r="G561" s="16"/>
      <c r="H561" s="16"/>
      <c r="I561" s="16">
        <v>135000</v>
      </c>
      <c r="J561" s="17">
        <v>108000</v>
      </c>
      <c r="K561" s="17">
        <f t="shared" si="16"/>
        <v>1080000</v>
      </c>
      <c r="L561" s="69">
        <f t="shared" si="17"/>
        <v>108000</v>
      </c>
    </row>
    <row r="562" spans="1:12" s="11" customFormat="1" ht="34.5" customHeight="1">
      <c r="A562" s="20">
        <v>558</v>
      </c>
      <c r="B562" s="77" t="s">
        <v>1298</v>
      </c>
      <c r="C562" s="41" t="s">
        <v>1299</v>
      </c>
      <c r="D562" s="21"/>
      <c r="E562" s="28" t="s">
        <v>695</v>
      </c>
      <c r="F562" s="26">
        <v>10</v>
      </c>
      <c r="G562" s="26"/>
      <c r="H562" s="26"/>
      <c r="I562" s="26">
        <v>42000</v>
      </c>
      <c r="J562" s="17">
        <v>33600</v>
      </c>
      <c r="K562" s="17">
        <f t="shared" si="16"/>
        <v>336000</v>
      </c>
      <c r="L562" s="69">
        <f t="shared" si="17"/>
        <v>33600</v>
      </c>
    </row>
    <row r="563" spans="1:12" s="11" customFormat="1" ht="34.5" customHeight="1">
      <c r="A563" s="20">
        <v>559</v>
      </c>
      <c r="B563" s="77"/>
      <c r="C563" s="41" t="s">
        <v>1300</v>
      </c>
      <c r="D563" s="21"/>
      <c r="E563" s="28" t="s">
        <v>695</v>
      </c>
      <c r="F563" s="26">
        <v>10</v>
      </c>
      <c r="G563" s="26"/>
      <c r="H563" s="26"/>
      <c r="I563" s="26">
        <v>42000</v>
      </c>
      <c r="J563" s="17">
        <v>33600</v>
      </c>
      <c r="K563" s="17">
        <f t="shared" si="16"/>
        <v>336000</v>
      </c>
      <c r="L563" s="69">
        <f t="shared" si="17"/>
        <v>33600</v>
      </c>
    </row>
    <row r="564" spans="1:12" s="11" customFormat="1" ht="34.5" customHeight="1">
      <c r="A564" s="20">
        <v>560</v>
      </c>
      <c r="B564" s="77"/>
      <c r="C564" s="41" t="s">
        <v>1301</v>
      </c>
      <c r="D564" s="21"/>
      <c r="E564" s="28" t="s">
        <v>695</v>
      </c>
      <c r="F564" s="26">
        <v>10</v>
      </c>
      <c r="G564" s="26"/>
      <c r="H564" s="26"/>
      <c r="I564" s="26">
        <v>42000</v>
      </c>
      <c r="J564" s="17">
        <v>33600</v>
      </c>
      <c r="K564" s="17">
        <f t="shared" si="16"/>
        <v>336000</v>
      </c>
      <c r="L564" s="69">
        <f t="shared" si="17"/>
        <v>33600</v>
      </c>
    </row>
    <row r="565" spans="1:12" s="11" customFormat="1" ht="34.5" customHeight="1">
      <c r="A565" s="20">
        <v>561</v>
      </c>
      <c r="B565" s="77"/>
      <c r="C565" s="41" t="s">
        <v>1302</v>
      </c>
      <c r="D565" s="21"/>
      <c r="E565" s="28" t="s">
        <v>695</v>
      </c>
      <c r="F565" s="26">
        <v>10</v>
      </c>
      <c r="G565" s="26"/>
      <c r="H565" s="26"/>
      <c r="I565" s="26">
        <v>42000</v>
      </c>
      <c r="J565" s="17">
        <v>33600</v>
      </c>
      <c r="K565" s="17">
        <f t="shared" si="16"/>
        <v>336000</v>
      </c>
      <c r="L565" s="69">
        <f t="shared" si="17"/>
        <v>33600</v>
      </c>
    </row>
    <row r="566" spans="1:12" s="12" customFormat="1" ht="63">
      <c r="A566" s="20">
        <v>562</v>
      </c>
      <c r="B566" s="25" t="s">
        <v>1303</v>
      </c>
      <c r="C566" s="25" t="s">
        <v>1304</v>
      </c>
      <c r="D566" s="25"/>
      <c r="E566" s="20" t="s">
        <v>1305</v>
      </c>
      <c r="F566" s="26">
        <v>2</v>
      </c>
      <c r="G566" s="26"/>
      <c r="H566" s="26"/>
      <c r="I566" s="26">
        <v>155000</v>
      </c>
      <c r="J566" s="17">
        <v>124000</v>
      </c>
      <c r="K566" s="17">
        <f t="shared" si="16"/>
        <v>248000</v>
      </c>
      <c r="L566" s="69">
        <f t="shared" si="17"/>
        <v>124000</v>
      </c>
    </row>
    <row r="567" spans="1:12" s="12" customFormat="1" ht="94.5">
      <c r="A567" s="20">
        <v>563</v>
      </c>
      <c r="B567" s="25" t="s">
        <v>1306</v>
      </c>
      <c r="C567" s="25" t="s">
        <v>1307</v>
      </c>
      <c r="D567" s="25"/>
      <c r="E567" s="20" t="s">
        <v>68</v>
      </c>
      <c r="F567" s="26">
        <v>2</v>
      </c>
      <c r="G567" s="26"/>
      <c r="H567" s="26"/>
      <c r="I567" s="26">
        <v>650000</v>
      </c>
      <c r="J567" s="17">
        <v>520000</v>
      </c>
      <c r="K567" s="17">
        <f t="shared" si="16"/>
        <v>1040000</v>
      </c>
      <c r="L567" s="69">
        <f t="shared" si="17"/>
        <v>520000</v>
      </c>
    </row>
    <row r="568" spans="1:12" s="12" customFormat="1" ht="31.5">
      <c r="A568" s="20">
        <v>564</v>
      </c>
      <c r="B568" s="25" t="s">
        <v>1308</v>
      </c>
      <c r="C568" s="25" t="s">
        <v>1309</v>
      </c>
      <c r="D568" s="25"/>
      <c r="E568" s="20" t="s">
        <v>68</v>
      </c>
      <c r="F568" s="26">
        <v>1</v>
      </c>
      <c r="G568" s="26"/>
      <c r="H568" s="26"/>
      <c r="I568" s="26">
        <v>750000</v>
      </c>
      <c r="J568" s="17">
        <v>600000</v>
      </c>
      <c r="K568" s="17">
        <f t="shared" si="16"/>
        <v>600000</v>
      </c>
      <c r="L568" s="69">
        <f t="shared" si="17"/>
        <v>600000</v>
      </c>
    </row>
    <row r="569" spans="1:12" s="12" customFormat="1" ht="96.75" customHeight="1">
      <c r="A569" s="20">
        <v>565</v>
      </c>
      <c r="B569" s="25" t="s">
        <v>1310</v>
      </c>
      <c r="C569" s="55" t="s">
        <v>1311</v>
      </c>
      <c r="D569" s="55"/>
      <c r="E569" s="28" t="s">
        <v>509</v>
      </c>
      <c r="F569" s="26">
        <v>7</v>
      </c>
      <c r="G569" s="26"/>
      <c r="H569" s="26"/>
      <c r="I569" s="26">
        <v>915000</v>
      </c>
      <c r="J569" s="17">
        <v>732000</v>
      </c>
      <c r="K569" s="17">
        <f t="shared" si="16"/>
        <v>5124000</v>
      </c>
      <c r="L569" s="69">
        <f t="shared" si="17"/>
        <v>732000</v>
      </c>
    </row>
    <row r="570" spans="1:12" s="12" customFormat="1">
      <c r="A570" s="20">
        <v>566</v>
      </c>
      <c r="B570" s="32" t="s">
        <v>1312</v>
      </c>
      <c r="C570" s="25" t="s">
        <v>1313</v>
      </c>
      <c r="D570" s="25"/>
      <c r="E570" s="28" t="s">
        <v>509</v>
      </c>
      <c r="F570" s="26">
        <v>40</v>
      </c>
      <c r="G570" s="26"/>
      <c r="H570" s="26"/>
      <c r="I570" s="26">
        <v>85000</v>
      </c>
      <c r="J570" s="17">
        <v>68000</v>
      </c>
      <c r="K570" s="17">
        <f t="shared" si="16"/>
        <v>2720000</v>
      </c>
      <c r="L570" s="69">
        <f t="shared" si="17"/>
        <v>68000</v>
      </c>
    </row>
    <row r="571" spans="1:12" s="12" customFormat="1">
      <c r="A571" s="20">
        <v>567</v>
      </c>
      <c r="B571" s="32" t="s">
        <v>1314</v>
      </c>
      <c r="C571" s="25" t="s">
        <v>1315</v>
      </c>
      <c r="D571" s="25"/>
      <c r="E571" s="28" t="s">
        <v>167</v>
      </c>
      <c r="F571" s="26">
        <v>15</v>
      </c>
      <c r="G571" s="26"/>
      <c r="H571" s="26"/>
      <c r="I571" s="26">
        <v>155000</v>
      </c>
      <c r="J571" s="17">
        <v>124000</v>
      </c>
      <c r="K571" s="17">
        <f t="shared" si="16"/>
        <v>1860000</v>
      </c>
      <c r="L571" s="69">
        <f t="shared" si="17"/>
        <v>124000</v>
      </c>
    </row>
    <row r="572" spans="1:12" s="12" customFormat="1" ht="31.5">
      <c r="A572" s="20">
        <v>568</v>
      </c>
      <c r="B572" s="25" t="s">
        <v>1316</v>
      </c>
      <c r="C572" s="25" t="s">
        <v>1317</v>
      </c>
      <c r="D572" s="25"/>
      <c r="E572" s="28" t="s">
        <v>68</v>
      </c>
      <c r="F572" s="56">
        <v>2</v>
      </c>
      <c r="G572" s="56"/>
      <c r="H572" s="56"/>
      <c r="I572" s="56">
        <v>485000</v>
      </c>
      <c r="J572" s="17">
        <v>388000</v>
      </c>
      <c r="K572" s="17">
        <f t="shared" si="16"/>
        <v>776000</v>
      </c>
      <c r="L572" s="69">
        <f t="shared" si="17"/>
        <v>388000</v>
      </c>
    </row>
    <row r="573" spans="1:12" s="12" customFormat="1">
      <c r="A573" s="20">
        <v>569</v>
      </c>
      <c r="B573" s="25" t="s">
        <v>1318</v>
      </c>
      <c r="C573" s="25" t="s">
        <v>1319</v>
      </c>
      <c r="D573" s="25"/>
      <c r="E573" s="28" t="s">
        <v>68</v>
      </c>
      <c r="F573" s="26">
        <v>2</v>
      </c>
      <c r="G573" s="26"/>
      <c r="H573" s="26"/>
      <c r="I573" s="26">
        <v>1250000</v>
      </c>
      <c r="J573" s="17">
        <v>1000000</v>
      </c>
      <c r="K573" s="17">
        <f t="shared" si="16"/>
        <v>2000000</v>
      </c>
      <c r="L573" s="69">
        <f t="shared" si="17"/>
        <v>1000000</v>
      </c>
    </row>
    <row r="574" spans="1:12" s="12" customFormat="1">
      <c r="A574" s="20">
        <v>570</v>
      </c>
      <c r="B574" s="25" t="s">
        <v>1320</v>
      </c>
      <c r="C574" s="25" t="s">
        <v>1321</v>
      </c>
      <c r="D574" s="25"/>
      <c r="E574" s="28" t="s">
        <v>509</v>
      </c>
      <c r="F574" s="26">
        <v>4</v>
      </c>
      <c r="G574" s="26"/>
      <c r="H574" s="26"/>
      <c r="I574" s="26">
        <v>910000</v>
      </c>
      <c r="J574" s="17">
        <v>728000</v>
      </c>
      <c r="K574" s="17">
        <f t="shared" si="16"/>
        <v>2912000</v>
      </c>
      <c r="L574" s="69">
        <f t="shared" si="17"/>
        <v>728000</v>
      </c>
    </row>
    <row r="575" spans="1:12" s="12" customFormat="1">
      <c r="A575" s="20">
        <v>571</v>
      </c>
      <c r="B575" s="24" t="s">
        <v>1322</v>
      </c>
      <c r="C575" s="25" t="s">
        <v>1323</v>
      </c>
      <c r="D575" s="25"/>
      <c r="E575" s="28" t="s">
        <v>68</v>
      </c>
      <c r="F575" s="26">
        <v>2</v>
      </c>
      <c r="G575" s="26"/>
      <c r="H575" s="26"/>
      <c r="I575" s="26">
        <v>950000</v>
      </c>
      <c r="J575" s="17">
        <v>760000</v>
      </c>
      <c r="K575" s="17">
        <f t="shared" si="16"/>
        <v>1520000</v>
      </c>
      <c r="L575" s="69">
        <f t="shared" si="17"/>
        <v>760000</v>
      </c>
    </row>
    <row r="576" spans="1:12" s="12" customFormat="1">
      <c r="A576" s="20">
        <v>572</v>
      </c>
      <c r="B576" s="25" t="s">
        <v>1324</v>
      </c>
      <c r="C576" s="25" t="s">
        <v>1325</v>
      </c>
      <c r="D576" s="25"/>
      <c r="E576" s="28" t="s">
        <v>1326</v>
      </c>
      <c r="F576" s="26">
        <v>3</v>
      </c>
      <c r="G576" s="26"/>
      <c r="H576" s="26"/>
      <c r="I576" s="26">
        <v>360000</v>
      </c>
      <c r="J576" s="17">
        <v>360000</v>
      </c>
      <c r="K576" s="17">
        <f t="shared" si="16"/>
        <v>1080000</v>
      </c>
      <c r="L576" s="69">
        <f t="shared" si="17"/>
        <v>288000</v>
      </c>
    </row>
    <row r="577" spans="1:12" s="12" customFormat="1">
      <c r="A577" s="20">
        <v>573</v>
      </c>
      <c r="B577" s="25" t="s">
        <v>1327</v>
      </c>
      <c r="C577" s="25" t="s">
        <v>1328</v>
      </c>
      <c r="D577" s="25"/>
      <c r="E577" s="28" t="s">
        <v>68</v>
      </c>
      <c r="F577" s="26">
        <v>2</v>
      </c>
      <c r="G577" s="26"/>
      <c r="H577" s="26"/>
      <c r="I577" s="26">
        <v>1350000</v>
      </c>
      <c r="J577" s="17">
        <v>1350000</v>
      </c>
      <c r="K577" s="17">
        <f t="shared" si="16"/>
        <v>2700000</v>
      </c>
      <c r="L577" s="69">
        <f t="shared" si="17"/>
        <v>1080000</v>
      </c>
    </row>
    <row r="578" spans="1:12" s="12" customFormat="1">
      <c r="A578" s="20">
        <v>574</v>
      </c>
      <c r="B578" s="25" t="s">
        <v>1329</v>
      </c>
      <c r="C578" s="25" t="s">
        <v>1330</v>
      </c>
      <c r="D578" s="25"/>
      <c r="E578" s="28" t="s">
        <v>68</v>
      </c>
      <c r="F578" s="26">
        <v>4</v>
      </c>
      <c r="G578" s="26"/>
      <c r="H578" s="26"/>
      <c r="I578" s="26">
        <v>255000</v>
      </c>
      <c r="J578" s="17">
        <v>204000</v>
      </c>
      <c r="K578" s="17">
        <f t="shared" ref="K578:K621" si="18">F578*J578</f>
        <v>816000</v>
      </c>
      <c r="L578" s="69">
        <f t="shared" si="17"/>
        <v>204000</v>
      </c>
    </row>
    <row r="579" spans="1:12" s="12" customFormat="1">
      <c r="A579" s="20">
        <v>575</v>
      </c>
      <c r="B579" s="24" t="s">
        <v>1331</v>
      </c>
      <c r="C579" s="25" t="s">
        <v>1332</v>
      </c>
      <c r="D579" s="25"/>
      <c r="E579" s="20" t="s">
        <v>68</v>
      </c>
      <c r="F579" s="26">
        <v>4</v>
      </c>
      <c r="G579" s="26"/>
      <c r="H579" s="26"/>
      <c r="I579" s="26">
        <v>1350000</v>
      </c>
      <c r="J579" s="17">
        <v>1080000</v>
      </c>
      <c r="K579" s="17">
        <f t="shared" si="18"/>
        <v>4320000</v>
      </c>
      <c r="L579" s="69">
        <f t="shared" si="17"/>
        <v>1080000</v>
      </c>
    </row>
    <row r="580" spans="1:12" s="12" customFormat="1">
      <c r="A580" s="20">
        <v>576</v>
      </c>
      <c r="B580" s="25" t="s">
        <v>1333</v>
      </c>
      <c r="C580" s="25" t="s">
        <v>1334</v>
      </c>
      <c r="D580" s="25"/>
      <c r="E580" s="28" t="s">
        <v>509</v>
      </c>
      <c r="F580" s="26">
        <v>1</v>
      </c>
      <c r="G580" s="26"/>
      <c r="H580" s="26"/>
      <c r="I580" s="26">
        <v>6500000</v>
      </c>
      <c r="J580" s="17">
        <v>5200000</v>
      </c>
      <c r="K580" s="17">
        <f t="shared" si="18"/>
        <v>5200000</v>
      </c>
      <c r="L580" s="69">
        <f t="shared" si="17"/>
        <v>5200000</v>
      </c>
    </row>
    <row r="581" spans="1:12" s="12" customFormat="1">
      <c r="A581" s="20">
        <v>577</v>
      </c>
      <c r="B581" s="32" t="s">
        <v>1335</v>
      </c>
      <c r="C581" s="57" t="s">
        <v>1336</v>
      </c>
      <c r="D581" s="57"/>
      <c r="E581" s="28" t="s">
        <v>220</v>
      </c>
      <c r="F581" s="26">
        <v>50</v>
      </c>
      <c r="G581" s="26"/>
      <c r="H581" s="26"/>
      <c r="I581" s="26">
        <v>73000</v>
      </c>
      <c r="J581" s="17">
        <v>58400</v>
      </c>
      <c r="K581" s="17">
        <f t="shared" si="18"/>
        <v>2920000</v>
      </c>
      <c r="L581" s="69">
        <f t="shared" si="17"/>
        <v>58400</v>
      </c>
    </row>
    <row r="582" spans="1:12" s="12" customFormat="1">
      <c r="A582" s="20">
        <v>578</v>
      </c>
      <c r="B582" s="32" t="s">
        <v>1337</v>
      </c>
      <c r="C582" s="25" t="s">
        <v>1338</v>
      </c>
      <c r="D582" s="25"/>
      <c r="E582" s="28" t="s">
        <v>220</v>
      </c>
      <c r="F582" s="26">
        <v>40</v>
      </c>
      <c r="G582" s="26"/>
      <c r="H582" s="26"/>
      <c r="I582" s="26">
        <v>81000</v>
      </c>
      <c r="J582" s="17">
        <v>64800</v>
      </c>
      <c r="K582" s="17">
        <f t="shared" si="18"/>
        <v>2592000</v>
      </c>
      <c r="L582" s="69">
        <f t="shared" ref="L582:L621" si="19">I582*80%</f>
        <v>64800</v>
      </c>
    </row>
    <row r="583" spans="1:12" s="12" customFormat="1">
      <c r="A583" s="20">
        <v>579</v>
      </c>
      <c r="B583" s="32" t="s">
        <v>1339</v>
      </c>
      <c r="C583" s="25" t="s">
        <v>1340</v>
      </c>
      <c r="D583" s="25"/>
      <c r="E583" s="28" t="s">
        <v>1341</v>
      </c>
      <c r="F583" s="26">
        <v>8</v>
      </c>
      <c r="G583" s="26"/>
      <c r="H583" s="26"/>
      <c r="I583" s="18">
        <v>151000</v>
      </c>
      <c r="J583" s="17">
        <v>120800</v>
      </c>
      <c r="K583" s="17">
        <f t="shared" si="18"/>
        <v>966400</v>
      </c>
      <c r="L583" s="69">
        <f t="shared" si="19"/>
        <v>120800</v>
      </c>
    </row>
    <row r="584" spans="1:12" s="12" customFormat="1">
      <c r="A584" s="20">
        <v>580</v>
      </c>
      <c r="B584" s="25" t="s">
        <v>1342</v>
      </c>
      <c r="C584" s="25" t="s">
        <v>1343</v>
      </c>
      <c r="D584" s="25"/>
      <c r="E584" s="20" t="s">
        <v>68</v>
      </c>
      <c r="F584" s="26">
        <v>1</v>
      </c>
      <c r="G584" s="26"/>
      <c r="H584" s="26"/>
      <c r="I584" s="26">
        <v>1750000</v>
      </c>
      <c r="J584" s="17">
        <v>1650000</v>
      </c>
      <c r="K584" s="17">
        <f t="shared" si="18"/>
        <v>1650000</v>
      </c>
      <c r="L584" s="69">
        <f t="shared" si="19"/>
        <v>1400000</v>
      </c>
    </row>
    <row r="585" spans="1:12" s="12" customFormat="1" ht="31.5">
      <c r="A585" s="20">
        <v>581</v>
      </c>
      <c r="B585" s="25" t="s">
        <v>1344</v>
      </c>
      <c r="C585" s="25" t="s">
        <v>1345</v>
      </c>
      <c r="D585" s="25"/>
      <c r="E585" s="28" t="s">
        <v>563</v>
      </c>
      <c r="F585" s="26">
        <v>6</v>
      </c>
      <c r="G585" s="26"/>
      <c r="H585" s="26"/>
      <c r="I585" s="26">
        <v>795000</v>
      </c>
      <c r="J585" s="17">
        <v>636000</v>
      </c>
      <c r="K585" s="17">
        <f t="shared" si="18"/>
        <v>3816000</v>
      </c>
      <c r="L585" s="69">
        <f t="shared" si="19"/>
        <v>636000</v>
      </c>
    </row>
    <row r="586" spans="1:12" s="12" customFormat="1" ht="83.25" customHeight="1">
      <c r="A586" s="20">
        <v>582</v>
      </c>
      <c r="B586" s="25" t="s">
        <v>1346</v>
      </c>
      <c r="C586" s="57" t="s">
        <v>1347</v>
      </c>
      <c r="D586" s="57"/>
      <c r="E586" s="28" t="s">
        <v>156</v>
      </c>
      <c r="F586" s="26">
        <v>10</v>
      </c>
      <c r="G586" s="26"/>
      <c r="H586" s="26"/>
      <c r="I586" s="26">
        <v>1430000</v>
      </c>
      <c r="J586" s="17">
        <v>1144000</v>
      </c>
      <c r="K586" s="17">
        <f t="shared" si="18"/>
        <v>11440000</v>
      </c>
      <c r="L586" s="69">
        <f t="shared" si="19"/>
        <v>1144000</v>
      </c>
    </row>
    <row r="587" spans="1:12" s="12" customFormat="1">
      <c r="A587" s="20">
        <v>583</v>
      </c>
      <c r="B587" s="21" t="s">
        <v>1348</v>
      </c>
      <c r="C587" s="25" t="s">
        <v>1349</v>
      </c>
      <c r="D587" s="25"/>
      <c r="E587" s="28" t="s">
        <v>1350</v>
      </c>
      <c r="F587" s="26">
        <v>2</v>
      </c>
      <c r="G587" s="26"/>
      <c r="H587" s="26"/>
      <c r="I587" s="26">
        <v>2250000</v>
      </c>
      <c r="J587" s="17">
        <v>1800000</v>
      </c>
      <c r="K587" s="17">
        <f t="shared" si="18"/>
        <v>3600000</v>
      </c>
      <c r="L587" s="69">
        <f t="shared" si="19"/>
        <v>1800000</v>
      </c>
    </row>
    <row r="588" spans="1:12" s="12" customFormat="1">
      <c r="A588" s="20">
        <v>584</v>
      </c>
      <c r="B588" s="32" t="s">
        <v>1351</v>
      </c>
      <c r="C588" s="25" t="s">
        <v>1352</v>
      </c>
      <c r="D588" s="25"/>
      <c r="E588" s="28" t="s">
        <v>167</v>
      </c>
      <c r="F588" s="26">
        <v>5</v>
      </c>
      <c r="G588" s="26"/>
      <c r="H588" s="26"/>
      <c r="I588" s="26">
        <v>3250000</v>
      </c>
      <c r="J588" s="17">
        <v>2600000</v>
      </c>
      <c r="K588" s="17">
        <f t="shared" si="18"/>
        <v>13000000</v>
      </c>
      <c r="L588" s="69">
        <f t="shared" si="19"/>
        <v>2600000</v>
      </c>
    </row>
    <row r="589" spans="1:12" s="12" customFormat="1">
      <c r="A589" s="20">
        <v>585</v>
      </c>
      <c r="B589" s="32" t="s">
        <v>1353</v>
      </c>
      <c r="C589" s="25" t="s">
        <v>1354</v>
      </c>
      <c r="D589" s="25"/>
      <c r="E589" s="28" t="s">
        <v>167</v>
      </c>
      <c r="F589" s="26">
        <v>2</v>
      </c>
      <c r="G589" s="26"/>
      <c r="H589" s="26"/>
      <c r="I589" s="26">
        <v>1850000</v>
      </c>
      <c r="J589" s="17">
        <v>1480000</v>
      </c>
      <c r="K589" s="17">
        <f t="shared" si="18"/>
        <v>2960000</v>
      </c>
      <c r="L589" s="69">
        <f t="shared" si="19"/>
        <v>1480000</v>
      </c>
    </row>
    <row r="590" spans="1:12" s="12" customFormat="1">
      <c r="A590" s="20">
        <v>586</v>
      </c>
      <c r="B590" s="32" t="s">
        <v>1355</v>
      </c>
      <c r="C590" s="25" t="s">
        <v>1356</v>
      </c>
      <c r="D590" s="25"/>
      <c r="E590" s="28" t="s">
        <v>167</v>
      </c>
      <c r="F590" s="26">
        <v>5</v>
      </c>
      <c r="G590" s="26"/>
      <c r="H590" s="26"/>
      <c r="I590" s="26">
        <v>630000</v>
      </c>
      <c r="J590" s="17">
        <v>504000</v>
      </c>
      <c r="K590" s="17">
        <f t="shared" si="18"/>
        <v>2520000</v>
      </c>
      <c r="L590" s="69">
        <f t="shared" si="19"/>
        <v>504000</v>
      </c>
    </row>
    <row r="591" spans="1:12" s="12" customFormat="1">
      <c r="A591" s="20">
        <v>587</v>
      </c>
      <c r="B591" s="32" t="s">
        <v>1357</v>
      </c>
      <c r="C591" s="25" t="s">
        <v>1358</v>
      </c>
      <c r="D591" s="25"/>
      <c r="E591" s="28" t="s">
        <v>509</v>
      </c>
      <c r="F591" s="26">
        <v>3</v>
      </c>
      <c r="G591" s="26"/>
      <c r="H591" s="26"/>
      <c r="I591" s="26">
        <v>2700000</v>
      </c>
      <c r="J591" s="17">
        <v>2160000</v>
      </c>
      <c r="K591" s="17">
        <f t="shared" si="18"/>
        <v>6480000</v>
      </c>
      <c r="L591" s="69">
        <f t="shared" si="19"/>
        <v>2160000</v>
      </c>
    </row>
    <row r="592" spans="1:12" s="12" customFormat="1">
      <c r="A592" s="20">
        <v>588</v>
      </c>
      <c r="B592" s="21" t="s">
        <v>1359</v>
      </c>
      <c r="C592" s="25" t="s">
        <v>1360</v>
      </c>
      <c r="D592" s="25"/>
      <c r="E592" s="20" t="s">
        <v>477</v>
      </c>
      <c r="F592" s="16">
        <v>20</v>
      </c>
      <c r="G592" s="16"/>
      <c r="H592" s="16"/>
      <c r="I592" s="16">
        <v>165000</v>
      </c>
      <c r="J592" s="17">
        <v>132000</v>
      </c>
      <c r="K592" s="17">
        <f t="shared" si="18"/>
        <v>2640000</v>
      </c>
      <c r="L592" s="69">
        <f t="shared" si="19"/>
        <v>132000</v>
      </c>
    </row>
    <row r="593" spans="1:12" s="12" customFormat="1">
      <c r="A593" s="20">
        <v>589</v>
      </c>
      <c r="B593" s="21" t="s">
        <v>1361</v>
      </c>
      <c r="C593" s="25" t="s">
        <v>1362</v>
      </c>
      <c r="D593" s="25"/>
      <c r="E593" s="20" t="s">
        <v>477</v>
      </c>
      <c r="F593" s="16">
        <v>20</v>
      </c>
      <c r="G593" s="16"/>
      <c r="H593" s="16"/>
      <c r="I593" s="16">
        <v>105000</v>
      </c>
      <c r="J593" s="17">
        <v>84000</v>
      </c>
      <c r="K593" s="17">
        <f t="shared" si="18"/>
        <v>1680000</v>
      </c>
      <c r="L593" s="69">
        <f t="shared" si="19"/>
        <v>84000</v>
      </c>
    </row>
    <row r="594" spans="1:12" s="12" customFormat="1">
      <c r="A594" s="20">
        <v>590</v>
      </c>
      <c r="B594" s="32" t="s">
        <v>1363</v>
      </c>
      <c r="C594" s="25" t="s">
        <v>1364</v>
      </c>
      <c r="D594" s="25"/>
      <c r="E594" s="28" t="s">
        <v>167</v>
      </c>
      <c r="F594" s="26">
        <v>2</v>
      </c>
      <c r="G594" s="26"/>
      <c r="H594" s="26"/>
      <c r="I594" s="26">
        <v>530000</v>
      </c>
      <c r="J594" s="17">
        <v>424000</v>
      </c>
      <c r="K594" s="17">
        <f t="shared" si="18"/>
        <v>848000</v>
      </c>
      <c r="L594" s="69">
        <f t="shared" si="19"/>
        <v>424000</v>
      </c>
    </row>
    <row r="595" spans="1:12" s="12" customFormat="1">
      <c r="A595" s="20">
        <v>591</v>
      </c>
      <c r="B595" s="32" t="s">
        <v>1365</v>
      </c>
      <c r="C595" s="49" t="s">
        <v>1366</v>
      </c>
      <c r="D595" s="49"/>
      <c r="E595" s="28" t="s">
        <v>167</v>
      </c>
      <c r="F595" s="26">
        <v>3</v>
      </c>
      <c r="G595" s="26"/>
      <c r="H595" s="26"/>
      <c r="I595" s="26">
        <v>355000</v>
      </c>
      <c r="J595" s="17">
        <v>284000</v>
      </c>
      <c r="K595" s="17">
        <f t="shared" si="18"/>
        <v>852000</v>
      </c>
      <c r="L595" s="69">
        <f t="shared" si="19"/>
        <v>284000</v>
      </c>
    </row>
    <row r="596" spans="1:12" s="12" customFormat="1">
      <c r="A596" s="20">
        <v>592</v>
      </c>
      <c r="B596" s="32" t="s">
        <v>1367</v>
      </c>
      <c r="C596" s="25" t="s">
        <v>1368</v>
      </c>
      <c r="D596" s="25"/>
      <c r="E596" s="28" t="s">
        <v>167</v>
      </c>
      <c r="F596" s="26">
        <v>2</v>
      </c>
      <c r="G596" s="26"/>
      <c r="H596" s="26"/>
      <c r="I596" s="26">
        <v>1275000</v>
      </c>
      <c r="J596" s="17">
        <v>1020000</v>
      </c>
      <c r="K596" s="17">
        <f t="shared" si="18"/>
        <v>2040000</v>
      </c>
      <c r="L596" s="69">
        <f t="shared" si="19"/>
        <v>1020000</v>
      </c>
    </row>
    <row r="597" spans="1:12" s="12" customFormat="1">
      <c r="A597" s="20">
        <v>593</v>
      </c>
      <c r="B597" s="32" t="s">
        <v>1369</v>
      </c>
      <c r="C597" s="25" t="s">
        <v>1370</v>
      </c>
      <c r="D597" s="25"/>
      <c r="E597" s="28" t="s">
        <v>167</v>
      </c>
      <c r="F597" s="26">
        <v>3</v>
      </c>
      <c r="G597" s="26"/>
      <c r="H597" s="26"/>
      <c r="I597" s="26">
        <v>1350000</v>
      </c>
      <c r="J597" s="17">
        <v>1080000</v>
      </c>
      <c r="K597" s="17">
        <f t="shared" si="18"/>
        <v>3240000</v>
      </c>
      <c r="L597" s="69">
        <f t="shared" si="19"/>
        <v>1080000</v>
      </c>
    </row>
    <row r="598" spans="1:12" s="12" customFormat="1">
      <c r="A598" s="20">
        <v>594</v>
      </c>
      <c r="B598" s="32" t="s">
        <v>1371</v>
      </c>
      <c r="C598" s="25" t="s">
        <v>1372</v>
      </c>
      <c r="D598" s="25"/>
      <c r="E598" s="28" t="s">
        <v>167</v>
      </c>
      <c r="F598" s="26">
        <v>2</v>
      </c>
      <c r="G598" s="26"/>
      <c r="H598" s="26"/>
      <c r="I598" s="26">
        <v>5850000</v>
      </c>
      <c r="J598" s="17">
        <v>4680000</v>
      </c>
      <c r="K598" s="17">
        <f t="shared" si="18"/>
        <v>9360000</v>
      </c>
      <c r="L598" s="69">
        <f t="shared" si="19"/>
        <v>4680000</v>
      </c>
    </row>
    <row r="599" spans="1:12" s="12" customFormat="1" ht="31.5">
      <c r="A599" s="20">
        <v>595</v>
      </c>
      <c r="B599" s="25" t="s">
        <v>1373</v>
      </c>
      <c r="C599" s="25" t="s">
        <v>1374</v>
      </c>
      <c r="D599" s="25"/>
      <c r="E599" s="28" t="s">
        <v>65</v>
      </c>
      <c r="F599" s="26">
        <v>10</v>
      </c>
      <c r="G599" s="26"/>
      <c r="H599" s="26"/>
      <c r="I599" s="26">
        <v>68000</v>
      </c>
      <c r="J599" s="17">
        <v>54400</v>
      </c>
      <c r="K599" s="17">
        <f t="shared" si="18"/>
        <v>544000</v>
      </c>
      <c r="L599" s="69">
        <f t="shared" si="19"/>
        <v>54400</v>
      </c>
    </row>
    <row r="600" spans="1:12" s="12" customFormat="1">
      <c r="A600" s="20">
        <v>596</v>
      </c>
      <c r="B600" s="21" t="s">
        <v>1375</v>
      </c>
      <c r="C600" s="25" t="s">
        <v>1376</v>
      </c>
      <c r="D600" s="25"/>
      <c r="E600" s="20" t="s">
        <v>477</v>
      </c>
      <c r="F600" s="16">
        <v>5</v>
      </c>
      <c r="G600" s="16"/>
      <c r="H600" s="16"/>
      <c r="I600" s="16">
        <v>125000</v>
      </c>
      <c r="J600" s="17">
        <v>100000</v>
      </c>
      <c r="K600" s="17">
        <f t="shared" si="18"/>
        <v>500000</v>
      </c>
      <c r="L600" s="69">
        <f t="shared" si="19"/>
        <v>100000</v>
      </c>
    </row>
    <row r="601" spans="1:12" s="12" customFormat="1">
      <c r="A601" s="20">
        <v>597</v>
      </c>
      <c r="B601" s="32" t="s">
        <v>1377</v>
      </c>
      <c r="C601" s="25" t="s">
        <v>1378</v>
      </c>
      <c r="D601" s="25"/>
      <c r="E601" s="28" t="s">
        <v>68</v>
      </c>
      <c r="F601" s="26">
        <v>10</v>
      </c>
      <c r="G601" s="26"/>
      <c r="H601" s="26"/>
      <c r="I601" s="26">
        <v>335000</v>
      </c>
      <c r="J601" s="17">
        <v>268000</v>
      </c>
      <c r="K601" s="17">
        <f t="shared" si="18"/>
        <v>2680000</v>
      </c>
      <c r="L601" s="69">
        <f t="shared" si="19"/>
        <v>268000</v>
      </c>
    </row>
    <row r="602" spans="1:12" s="12" customFormat="1" ht="31.5">
      <c r="A602" s="20">
        <v>598</v>
      </c>
      <c r="B602" s="25" t="s">
        <v>1379</v>
      </c>
      <c r="C602" s="57" t="s">
        <v>1380</v>
      </c>
      <c r="D602" s="57"/>
      <c r="E602" s="28" t="s">
        <v>1381</v>
      </c>
      <c r="F602" s="26">
        <v>200</v>
      </c>
      <c r="G602" s="26"/>
      <c r="H602" s="26"/>
      <c r="I602" s="26">
        <v>8000</v>
      </c>
      <c r="J602" s="17">
        <v>6400</v>
      </c>
      <c r="K602" s="17">
        <f t="shared" si="18"/>
        <v>1280000</v>
      </c>
      <c r="L602" s="69">
        <f t="shared" si="19"/>
        <v>6400</v>
      </c>
    </row>
    <row r="603" spans="1:12" s="12" customFormat="1">
      <c r="A603" s="20">
        <v>599</v>
      </c>
      <c r="B603" s="25" t="s">
        <v>1382</v>
      </c>
      <c r="C603" s="25" t="s">
        <v>1383</v>
      </c>
      <c r="D603" s="25"/>
      <c r="E603" s="28" t="s">
        <v>695</v>
      </c>
      <c r="F603" s="26">
        <v>100</v>
      </c>
      <c r="G603" s="26"/>
      <c r="H603" s="26"/>
      <c r="I603" s="26">
        <v>173000</v>
      </c>
      <c r="J603" s="17">
        <v>70000</v>
      </c>
      <c r="K603" s="17">
        <f t="shared" si="18"/>
        <v>7000000</v>
      </c>
      <c r="L603" s="69">
        <f t="shared" si="19"/>
        <v>138400</v>
      </c>
    </row>
    <row r="604" spans="1:12" s="12" customFormat="1">
      <c r="A604" s="20">
        <v>600</v>
      </c>
      <c r="B604" s="32" t="s">
        <v>1384</v>
      </c>
      <c r="C604" s="25" t="s">
        <v>1385</v>
      </c>
      <c r="D604" s="25"/>
      <c r="E604" s="28" t="s">
        <v>695</v>
      </c>
      <c r="F604" s="26">
        <v>20</v>
      </c>
      <c r="G604" s="26"/>
      <c r="H604" s="26"/>
      <c r="I604" s="26">
        <v>125000</v>
      </c>
      <c r="J604" s="17">
        <v>100000</v>
      </c>
      <c r="K604" s="17">
        <f t="shared" si="18"/>
        <v>2000000</v>
      </c>
      <c r="L604" s="69">
        <f t="shared" si="19"/>
        <v>100000</v>
      </c>
    </row>
    <row r="605" spans="1:12" s="11" customFormat="1" ht="19.899999999999999" customHeight="1">
      <c r="A605" s="20">
        <v>601</v>
      </c>
      <c r="B605" s="32" t="s">
        <v>1386</v>
      </c>
      <c r="C605" s="21" t="s">
        <v>741</v>
      </c>
      <c r="D605" s="21"/>
      <c r="E605" s="28" t="s">
        <v>695</v>
      </c>
      <c r="F605" s="26">
        <v>10</v>
      </c>
      <c r="G605" s="26"/>
      <c r="H605" s="26"/>
      <c r="I605" s="26">
        <v>45000</v>
      </c>
      <c r="J605" s="17">
        <v>36000</v>
      </c>
      <c r="K605" s="17">
        <f t="shared" si="18"/>
        <v>360000</v>
      </c>
      <c r="L605" s="69">
        <f t="shared" si="19"/>
        <v>36000</v>
      </c>
    </row>
    <row r="606" spans="1:12" s="11" customFormat="1" ht="19.899999999999999" customHeight="1">
      <c r="A606" s="20">
        <v>602</v>
      </c>
      <c r="B606" s="32" t="s">
        <v>1387</v>
      </c>
      <c r="C606" s="21" t="s">
        <v>1388</v>
      </c>
      <c r="D606" s="21"/>
      <c r="E606" s="28" t="s">
        <v>1271</v>
      </c>
      <c r="F606" s="26">
        <v>30</v>
      </c>
      <c r="G606" s="26"/>
      <c r="H606" s="26"/>
      <c r="I606" s="26">
        <v>155000</v>
      </c>
      <c r="J606" s="17">
        <v>124000</v>
      </c>
      <c r="K606" s="17">
        <f t="shared" si="18"/>
        <v>3720000</v>
      </c>
      <c r="L606" s="69">
        <f t="shared" si="19"/>
        <v>124000</v>
      </c>
    </row>
    <row r="607" spans="1:12" s="11" customFormat="1" ht="19.899999999999999" customHeight="1">
      <c r="A607" s="20">
        <v>603</v>
      </c>
      <c r="B607" s="32" t="s">
        <v>1389</v>
      </c>
      <c r="C607" s="21" t="s">
        <v>741</v>
      </c>
      <c r="D607" s="21"/>
      <c r="E607" s="28" t="s">
        <v>1390</v>
      </c>
      <c r="F607" s="26">
        <v>300</v>
      </c>
      <c r="G607" s="26"/>
      <c r="H607" s="26"/>
      <c r="I607" s="26">
        <v>72000</v>
      </c>
      <c r="J607" s="17">
        <v>57600</v>
      </c>
      <c r="K607" s="17">
        <f t="shared" si="18"/>
        <v>17280000</v>
      </c>
      <c r="L607" s="69">
        <f t="shared" si="19"/>
        <v>57600</v>
      </c>
    </row>
    <row r="608" spans="1:12" s="11" customFormat="1" ht="19.899999999999999" customHeight="1">
      <c r="A608" s="20">
        <v>604</v>
      </c>
      <c r="B608" s="32" t="s">
        <v>1391</v>
      </c>
      <c r="C608" s="21" t="s">
        <v>741</v>
      </c>
      <c r="D608" s="21"/>
      <c r="E608" s="28" t="s">
        <v>418</v>
      </c>
      <c r="F608" s="26">
        <v>430</v>
      </c>
      <c r="G608" s="26"/>
      <c r="H608" s="26"/>
      <c r="I608" s="26">
        <v>22000</v>
      </c>
      <c r="J608" s="17">
        <v>17600</v>
      </c>
      <c r="K608" s="17">
        <f t="shared" si="18"/>
        <v>7568000</v>
      </c>
      <c r="L608" s="69">
        <f t="shared" si="19"/>
        <v>17600</v>
      </c>
    </row>
    <row r="609" spans="1:12" s="12" customFormat="1">
      <c r="A609" s="20">
        <v>605</v>
      </c>
      <c r="B609" s="32" t="s">
        <v>1392</v>
      </c>
      <c r="C609" s="21" t="s">
        <v>741</v>
      </c>
      <c r="D609" s="21"/>
      <c r="E609" s="28" t="s">
        <v>68</v>
      </c>
      <c r="F609" s="26">
        <v>150</v>
      </c>
      <c r="G609" s="26"/>
      <c r="H609" s="26"/>
      <c r="I609" s="26">
        <v>55000</v>
      </c>
      <c r="J609" s="17">
        <v>44000</v>
      </c>
      <c r="K609" s="17">
        <f t="shared" si="18"/>
        <v>6600000</v>
      </c>
      <c r="L609" s="69">
        <f t="shared" si="19"/>
        <v>44000</v>
      </c>
    </row>
    <row r="610" spans="1:12" s="12" customFormat="1">
      <c r="A610" s="20">
        <v>606</v>
      </c>
      <c r="B610" s="25" t="s">
        <v>1393</v>
      </c>
      <c r="C610" s="21" t="s">
        <v>741</v>
      </c>
      <c r="D610" s="21"/>
      <c r="E610" s="28" t="s">
        <v>68</v>
      </c>
      <c r="F610" s="26">
        <v>50</v>
      </c>
      <c r="G610" s="26"/>
      <c r="H610" s="26"/>
      <c r="I610" s="26">
        <v>85000</v>
      </c>
      <c r="J610" s="17">
        <v>60000</v>
      </c>
      <c r="K610" s="17">
        <f t="shared" si="18"/>
        <v>3000000</v>
      </c>
      <c r="L610" s="69">
        <f t="shared" si="19"/>
        <v>68000</v>
      </c>
    </row>
    <row r="611" spans="1:12" s="11" customFormat="1" ht="19.899999999999999" customHeight="1">
      <c r="A611" s="20">
        <v>607</v>
      </c>
      <c r="B611" s="32" t="s">
        <v>1394</v>
      </c>
      <c r="C611" s="21" t="s">
        <v>741</v>
      </c>
      <c r="D611" s="21"/>
      <c r="E611" s="28" t="s">
        <v>418</v>
      </c>
      <c r="F611" s="26">
        <v>50</v>
      </c>
      <c r="G611" s="26"/>
      <c r="H611" s="26"/>
      <c r="I611" s="26">
        <v>62000</v>
      </c>
      <c r="J611" s="17">
        <v>49600</v>
      </c>
      <c r="K611" s="17">
        <f t="shared" si="18"/>
        <v>2480000</v>
      </c>
      <c r="L611" s="69">
        <f t="shared" si="19"/>
        <v>49600</v>
      </c>
    </row>
    <row r="612" spans="1:12" s="11" customFormat="1" ht="19.899999999999999" customHeight="1">
      <c r="A612" s="20">
        <v>608</v>
      </c>
      <c r="B612" s="32" t="s">
        <v>1395</v>
      </c>
      <c r="C612" s="21" t="s">
        <v>741</v>
      </c>
      <c r="D612" s="21"/>
      <c r="E612" s="28" t="s">
        <v>68</v>
      </c>
      <c r="F612" s="26">
        <v>10</v>
      </c>
      <c r="G612" s="26"/>
      <c r="H612" s="26"/>
      <c r="I612" s="26">
        <v>315000</v>
      </c>
      <c r="J612" s="17">
        <v>252000</v>
      </c>
      <c r="K612" s="17">
        <f t="shared" si="18"/>
        <v>2520000</v>
      </c>
      <c r="L612" s="69">
        <f t="shared" si="19"/>
        <v>252000</v>
      </c>
    </row>
    <row r="613" spans="1:12" s="11" customFormat="1" ht="30" customHeight="1">
      <c r="A613" s="20">
        <v>609</v>
      </c>
      <c r="B613" s="32" t="s">
        <v>1396</v>
      </c>
      <c r="C613" s="21" t="s">
        <v>741</v>
      </c>
      <c r="D613" s="21"/>
      <c r="E613" s="28" t="s">
        <v>418</v>
      </c>
      <c r="F613" s="26">
        <v>22</v>
      </c>
      <c r="G613" s="26"/>
      <c r="H613" s="26"/>
      <c r="I613" s="26">
        <v>125000</v>
      </c>
      <c r="J613" s="17">
        <v>100000</v>
      </c>
      <c r="K613" s="17">
        <f t="shared" si="18"/>
        <v>2200000</v>
      </c>
      <c r="L613" s="69">
        <f t="shared" si="19"/>
        <v>100000</v>
      </c>
    </row>
    <row r="614" spans="1:12" s="12" customFormat="1">
      <c r="A614" s="20">
        <v>610</v>
      </c>
      <c r="B614" s="25" t="s">
        <v>1397</v>
      </c>
      <c r="C614" s="25" t="s">
        <v>1398</v>
      </c>
      <c r="D614" s="25"/>
      <c r="E614" s="28" t="s">
        <v>1341</v>
      </c>
      <c r="F614" s="26">
        <v>15</v>
      </c>
      <c r="G614" s="26"/>
      <c r="H614" s="26"/>
      <c r="I614" s="18">
        <v>185000</v>
      </c>
      <c r="J614" s="17">
        <v>90000</v>
      </c>
      <c r="K614" s="17">
        <f t="shared" si="18"/>
        <v>1350000</v>
      </c>
      <c r="L614" s="69">
        <f t="shared" si="19"/>
        <v>148000</v>
      </c>
    </row>
    <row r="615" spans="1:12" s="12" customFormat="1">
      <c r="A615" s="20">
        <v>611</v>
      </c>
      <c r="B615" s="32" t="s">
        <v>1399</v>
      </c>
      <c r="C615" s="25" t="s">
        <v>1400</v>
      </c>
      <c r="D615" s="25"/>
      <c r="E615" s="28" t="s">
        <v>695</v>
      </c>
      <c r="F615" s="26">
        <v>4</v>
      </c>
      <c r="G615" s="26"/>
      <c r="H615" s="26"/>
      <c r="I615" s="13">
        <v>153000</v>
      </c>
      <c r="J615" s="17">
        <v>122400</v>
      </c>
      <c r="K615" s="17">
        <f t="shared" si="18"/>
        <v>489600</v>
      </c>
      <c r="L615" s="69">
        <f t="shared" si="19"/>
        <v>122400</v>
      </c>
    </row>
    <row r="616" spans="1:12" s="12" customFormat="1">
      <c r="A616" s="20">
        <v>612</v>
      </c>
      <c r="B616" s="32" t="s">
        <v>1401</v>
      </c>
      <c r="C616" s="25" t="s">
        <v>1402</v>
      </c>
      <c r="D616" s="25"/>
      <c r="E616" s="28" t="s">
        <v>695</v>
      </c>
      <c r="F616" s="26">
        <v>3</v>
      </c>
      <c r="G616" s="26"/>
      <c r="H616" s="26"/>
      <c r="I616" s="19">
        <v>255000</v>
      </c>
      <c r="J616" s="17">
        <v>204000</v>
      </c>
      <c r="K616" s="17">
        <f t="shared" si="18"/>
        <v>612000</v>
      </c>
      <c r="L616" s="69">
        <f t="shared" si="19"/>
        <v>204000</v>
      </c>
    </row>
    <row r="617" spans="1:12" s="12" customFormat="1">
      <c r="A617" s="20">
        <v>613</v>
      </c>
      <c r="B617" s="32" t="s">
        <v>1403</v>
      </c>
      <c r="C617" s="57" t="s">
        <v>1404</v>
      </c>
      <c r="D617" s="57"/>
      <c r="E617" s="28" t="s">
        <v>695</v>
      </c>
      <c r="F617" s="26">
        <v>38</v>
      </c>
      <c r="G617" s="26"/>
      <c r="H617" s="26"/>
      <c r="I617" s="19">
        <v>235000</v>
      </c>
      <c r="J617" s="17">
        <v>235000</v>
      </c>
      <c r="K617" s="17">
        <f t="shared" si="18"/>
        <v>8930000</v>
      </c>
      <c r="L617" s="69">
        <f t="shared" si="19"/>
        <v>188000</v>
      </c>
    </row>
    <row r="618" spans="1:12" s="12" customFormat="1">
      <c r="A618" s="20">
        <v>614</v>
      </c>
      <c r="B618" s="25" t="s">
        <v>1405</v>
      </c>
      <c r="C618" s="25" t="s">
        <v>1406</v>
      </c>
      <c r="D618" s="25"/>
      <c r="E618" s="28" t="s">
        <v>1390</v>
      </c>
      <c r="F618" s="26">
        <v>400</v>
      </c>
      <c r="G618" s="26"/>
      <c r="H618" s="26"/>
      <c r="I618" s="26">
        <v>22000</v>
      </c>
      <c r="J618" s="17">
        <v>22000</v>
      </c>
      <c r="K618" s="17">
        <f t="shared" si="18"/>
        <v>8800000</v>
      </c>
      <c r="L618" s="69">
        <f t="shared" si="19"/>
        <v>17600</v>
      </c>
    </row>
    <row r="619" spans="1:12" s="12" customFormat="1">
      <c r="A619" s="20">
        <v>615</v>
      </c>
      <c r="B619" s="25" t="s">
        <v>1407</v>
      </c>
      <c r="C619" s="25" t="s">
        <v>1408</v>
      </c>
      <c r="D619" s="25"/>
      <c r="E619" s="28" t="s">
        <v>1390</v>
      </c>
      <c r="F619" s="26">
        <v>300</v>
      </c>
      <c r="G619" s="26"/>
      <c r="H619" s="26"/>
      <c r="I619" s="26">
        <v>25000</v>
      </c>
      <c r="J619" s="17">
        <v>25000</v>
      </c>
      <c r="K619" s="17">
        <f t="shared" si="18"/>
        <v>7500000</v>
      </c>
      <c r="L619" s="69">
        <f t="shared" si="19"/>
        <v>20000</v>
      </c>
    </row>
    <row r="620" spans="1:12" s="12" customFormat="1" ht="78.75">
      <c r="A620" s="20">
        <v>616</v>
      </c>
      <c r="B620" s="25" t="s">
        <v>1409</v>
      </c>
      <c r="C620" s="57" t="s">
        <v>1410</v>
      </c>
      <c r="D620" s="57"/>
      <c r="E620" s="28" t="s">
        <v>1411</v>
      </c>
      <c r="F620" s="26">
        <v>20</v>
      </c>
      <c r="G620" s="26"/>
      <c r="H620" s="26"/>
      <c r="I620" s="26">
        <v>135000</v>
      </c>
      <c r="J620" s="17">
        <v>135000</v>
      </c>
      <c r="K620" s="17">
        <f t="shared" si="18"/>
        <v>2700000</v>
      </c>
      <c r="L620" s="69">
        <f t="shared" si="19"/>
        <v>108000</v>
      </c>
    </row>
    <row r="621" spans="1:12" s="11" customFormat="1" ht="19.899999999999999" customHeight="1">
      <c r="A621" s="20">
        <v>617</v>
      </c>
      <c r="B621" s="32" t="s">
        <v>1412</v>
      </c>
      <c r="C621" s="21" t="s">
        <v>1413</v>
      </c>
      <c r="D621" s="21"/>
      <c r="E621" s="28" t="s">
        <v>1390</v>
      </c>
      <c r="F621" s="26">
        <v>20</v>
      </c>
      <c r="G621" s="26"/>
      <c r="H621" s="26"/>
      <c r="I621" s="26">
        <v>175000</v>
      </c>
      <c r="J621" s="17">
        <v>140000</v>
      </c>
      <c r="K621" s="17">
        <f t="shared" si="18"/>
        <v>2800000</v>
      </c>
      <c r="L621" s="69">
        <f t="shared" si="19"/>
        <v>140000</v>
      </c>
    </row>
    <row r="622" spans="1:12" ht="15.75" customHeight="1">
      <c r="A622" s="20"/>
      <c r="B622" s="25"/>
      <c r="C622" s="21"/>
      <c r="D622" s="21"/>
      <c r="E622" s="25"/>
      <c r="F622" s="16"/>
      <c r="G622" s="16"/>
      <c r="H622" s="16"/>
      <c r="I622" s="16"/>
      <c r="J622" s="17"/>
      <c r="K622" s="58">
        <f t="shared" ref="K622" si="20">SUM(K5:K621)</f>
        <v>3197470640</v>
      </c>
    </row>
    <row r="623" spans="1:12" ht="15.75" customHeight="1">
      <c r="J623" s="15"/>
    </row>
  </sheetData>
  <mergeCells count="28">
    <mergeCell ref="B551:B554"/>
    <mergeCell ref="B559:B560"/>
    <mergeCell ref="B562:B565"/>
    <mergeCell ref="B441:B443"/>
    <mergeCell ref="B444:B448"/>
    <mergeCell ref="B449:B468"/>
    <mergeCell ref="B491:B492"/>
    <mergeCell ref="B519:B520"/>
    <mergeCell ref="B404:B405"/>
    <mergeCell ref="B406:B413"/>
    <mergeCell ref="B417:B428"/>
    <mergeCell ref="B429:B432"/>
    <mergeCell ref="B433:B440"/>
    <mergeCell ref="B348:B350"/>
    <mergeCell ref="B351:B382"/>
    <mergeCell ref="B383:B384"/>
    <mergeCell ref="B390:B400"/>
    <mergeCell ref="B401:B403"/>
    <mergeCell ref="B283:B284"/>
    <mergeCell ref="B286:B300"/>
    <mergeCell ref="B301:B304"/>
    <mergeCell ref="B305:B312"/>
    <mergeCell ref="B344:B346"/>
    <mergeCell ref="A1:E1"/>
    <mergeCell ref="A2:I2"/>
    <mergeCell ref="B3:I3"/>
    <mergeCell ref="B259:B264"/>
    <mergeCell ref="B265:B270"/>
  </mergeCells>
  <conditionalFormatting sqref="B24 B10">
    <cfRule type="duplicateValues" dxfId="75" priority="84"/>
  </conditionalFormatting>
  <conditionalFormatting sqref="B31">
    <cfRule type="duplicateValues" dxfId="74" priority="60"/>
  </conditionalFormatting>
  <conditionalFormatting sqref="B32">
    <cfRule type="duplicateValues" dxfId="73" priority="59"/>
  </conditionalFormatting>
  <conditionalFormatting sqref="B33">
    <cfRule type="duplicateValues" dxfId="72" priority="50"/>
  </conditionalFormatting>
  <conditionalFormatting sqref="B34">
    <cfRule type="duplicateValues" dxfId="71" priority="49"/>
  </conditionalFormatting>
  <conditionalFormatting sqref="B44">
    <cfRule type="duplicateValues" dxfId="70" priority="65"/>
  </conditionalFormatting>
  <conditionalFormatting sqref="B45">
    <cfRule type="duplicateValues" dxfId="69" priority="64"/>
  </conditionalFormatting>
  <conditionalFormatting sqref="B46">
    <cfRule type="duplicateValues" dxfId="68" priority="62"/>
  </conditionalFormatting>
  <conditionalFormatting sqref="B47">
    <cfRule type="duplicateValues" dxfId="67" priority="63"/>
  </conditionalFormatting>
  <conditionalFormatting sqref="B48">
    <cfRule type="duplicateValues" dxfId="66" priority="83"/>
  </conditionalFormatting>
  <conditionalFormatting sqref="B49">
    <cfRule type="duplicateValues" dxfId="65" priority="61"/>
  </conditionalFormatting>
  <conditionalFormatting sqref="B65">
    <cfRule type="duplicateValues" dxfId="64" priority="48"/>
  </conditionalFormatting>
  <conditionalFormatting sqref="B67">
    <cfRule type="duplicateValues" dxfId="63" priority="55"/>
  </conditionalFormatting>
  <conditionalFormatting sqref="B78">
    <cfRule type="duplicateValues" dxfId="62" priority="77"/>
  </conditionalFormatting>
  <conditionalFormatting sqref="B96">
    <cfRule type="duplicateValues" dxfId="61" priority="70"/>
  </conditionalFormatting>
  <conditionalFormatting sqref="B97">
    <cfRule type="duplicateValues" dxfId="60" priority="76"/>
  </conditionalFormatting>
  <conditionalFormatting sqref="B98">
    <cfRule type="duplicateValues" dxfId="59" priority="75"/>
  </conditionalFormatting>
  <conditionalFormatting sqref="B101">
    <cfRule type="duplicateValues" dxfId="58" priority="74"/>
  </conditionalFormatting>
  <conditionalFormatting sqref="B102">
    <cfRule type="duplicateValues" dxfId="57" priority="72"/>
  </conditionalFormatting>
  <conditionalFormatting sqref="B117">
    <cfRule type="duplicateValues" dxfId="56" priority="56"/>
  </conditionalFormatting>
  <conditionalFormatting sqref="B126">
    <cfRule type="duplicateValues" dxfId="55" priority="42"/>
  </conditionalFormatting>
  <conditionalFormatting sqref="B127">
    <cfRule type="duplicateValues" dxfId="54" priority="45"/>
  </conditionalFormatting>
  <conditionalFormatting sqref="B128">
    <cfRule type="duplicateValues" dxfId="53" priority="43"/>
  </conditionalFormatting>
  <conditionalFormatting sqref="B130">
    <cfRule type="duplicateValues" dxfId="52" priority="66"/>
  </conditionalFormatting>
  <conditionalFormatting sqref="B138 B131 B43">
    <cfRule type="duplicateValues" dxfId="51" priority="67"/>
  </conditionalFormatting>
  <conditionalFormatting sqref="B163">
    <cfRule type="duplicateValues" dxfId="50" priority="39"/>
  </conditionalFormatting>
  <conditionalFormatting sqref="B172">
    <cfRule type="duplicateValues" dxfId="49" priority="41"/>
  </conditionalFormatting>
  <conditionalFormatting sqref="B234:B242">
    <cfRule type="containsText" dxfId="48" priority="82" operator="containsText" text="Dây điện màu đen 0.75mm VCm0.75">
      <formula>NOT(ISERROR(SEARCH("Dây điện màu đen 0.75mm VCm0.75",B234)))</formula>
    </cfRule>
  </conditionalFormatting>
  <conditionalFormatting sqref="B243">
    <cfRule type="duplicateValues" dxfId="47" priority="81"/>
  </conditionalFormatting>
  <conditionalFormatting sqref="B247">
    <cfRule type="duplicateValues" dxfId="46" priority="52"/>
  </conditionalFormatting>
  <conditionalFormatting sqref="B248:B249 B258 B54:B55">
    <cfRule type="duplicateValues" dxfId="45" priority="86"/>
  </conditionalFormatting>
  <conditionalFormatting sqref="B251">
    <cfRule type="duplicateValues" dxfId="44" priority="68"/>
  </conditionalFormatting>
  <conditionalFormatting sqref="B252:B255">
    <cfRule type="duplicateValues" dxfId="43" priority="38"/>
  </conditionalFormatting>
  <conditionalFormatting sqref="B335:B336">
    <cfRule type="duplicateValues" dxfId="42" priority="24"/>
  </conditionalFormatting>
  <conditionalFormatting sqref="B385">
    <cfRule type="duplicateValues" dxfId="41" priority="23"/>
  </conditionalFormatting>
  <conditionalFormatting sqref="B386">
    <cfRule type="duplicateValues" dxfId="40" priority="21"/>
    <cfRule type="duplicateValues" dxfId="39" priority="22"/>
  </conditionalFormatting>
  <conditionalFormatting sqref="B387:B389 B321:B328">
    <cfRule type="duplicateValues" dxfId="38" priority="87"/>
  </conditionalFormatting>
  <conditionalFormatting sqref="B401">
    <cfRule type="duplicateValues" dxfId="37" priority="29"/>
  </conditionalFormatting>
  <conditionalFormatting sqref="B493 B256:B257 B246">
    <cfRule type="duplicateValues" dxfId="36" priority="85"/>
  </conditionalFormatting>
  <conditionalFormatting sqref="B511">
    <cfRule type="duplicateValues" dxfId="35" priority="47"/>
  </conditionalFormatting>
  <conditionalFormatting sqref="B522">
    <cfRule type="duplicateValues" dxfId="34" priority="32"/>
  </conditionalFormatting>
  <conditionalFormatting sqref="B524:B525 B390">
    <cfRule type="duplicateValues" dxfId="33" priority="27"/>
  </conditionalFormatting>
  <conditionalFormatting sqref="B556">
    <cfRule type="duplicateValues" dxfId="32" priority="16"/>
  </conditionalFormatting>
  <conditionalFormatting sqref="B570:B571">
    <cfRule type="duplicateValues" dxfId="31" priority="3"/>
  </conditionalFormatting>
  <conditionalFormatting sqref="B575:B578 B572:B573 B580">
    <cfRule type="duplicateValues" dxfId="30" priority="34"/>
  </conditionalFormatting>
  <conditionalFormatting sqref="B583">
    <cfRule type="duplicateValues" dxfId="29" priority="6"/>
  </conditionalFormatting>
  <conditionalFormatting sqref="B587 B486">
    <cfRule type="duplicateValues" dxfId="28" priority="9"/>
  </conditionalFormatting>
  <conditionalFormatting sqref="B594:B598 B471 B518 B601">
    <cfRule type="duplicateValues" dxfId="27" priority="36"/>
  </conditionalFormatting>
  <conditionalFormatting sqref="B594:B598 B471 B601">
    <cfRule type="duplicateValues" dxfId="26" priority="37"/>
  </conditionalFormatting>
  <conditionalFormatting sqref="B594:B598 B601">
    <cfRule type="duplicateValues" dxfId="25" priority="11"/>
  </conditionalFormatting>
  <conditionalFormatting sqref="B595:B598">
    <cfRule type="duplicateValues" dxfId="24" priority="12"/>
  </conditionalFormatting>
  <conditionalFormatting sqref="B596:B598">
    <cfRule type="duplicateValues" dxfId="23" priority="13"/>
  </conditionalFormatting>
  <conditionalFormatting sqref="B598">
    <cfRule type="duplicateValues" dxfId="22" priority="4"/>
  </conditionalFormatting>
  <conditionalFormatting sqref="B601">
    <cfRule type="duplicateValues" dxfId="21" priority="5"/>
  </conditionalFormatting>
  <conditionalFormatting sqref="B609">
    <cfRule type="duplicateValues" dxfId="20" priority="8"/>
  </conditionalFormatting>
  <conditionalFormatting sqref="B611 B534:B550 B414 B526:B532 B333">
    <cfRule type="duplicateValues" dxfId="19" priority="33"/>
  </conditionalFormatting>
  <conditionalFormatting sqref="B615">
    <cfRule type="duplicateValues" dxfId="18" priority="7"/>
  </conditionalFormatting>
  <conditionalFormatting sqref="B616 B471 B518 B583 B594:B598 B601">
    <cfRule type="duplicateValues" dxfId="17" priority="35"/>
  </conditionalFormatting>
  <conditionalFormatting sqref="B617 B604 B581:B582 B588:B591 B602">
    <cfRule type="duplicateValues" dxfId="16" priority="10"/>
  </conditionalFormatting>
  <conditionalFormatting sqref="C354">
    <cfRule type="duplicateValues" dxfId="15" priority="19"/>
  </conditionalFormatting>
  <conditionalFormatting sqref="C366">
    <cfRule type="duplicateValues" dxfId="14" priority="26"/>
  </conditionalFormatting>
  <conditionalFormatting sqref="C368">
    <cfRule type="duplicateValues" dxfId="13" priority="18"/>
  </conditionalFormatting>
  <conditionalFormatting sqref="C370:C371 C358">
    <cfRule type="duplicateValues" dxfId="12" priority="25"/>
  </conditionalFormatting>
  <conditionalFormatting sqref="C96:D96">
    <cfRule type="duplicateValues" dxfId="11" priority="69"/>
  </conditionalFormatting>
  <conditionalFormatting sqref="C101:D101">
    <cfRule type="duplicateValues" dxfId="10" priority="73"/>
  </conditionalFormatting>
  <conditionalFormatting sqref="C102:D102">
    <cfRule type="duplicateValues" dxfId="9" priority="71"/>
  </conditionalFormatting>
  <conditionalFormatting sqref="C127:D127">
    <cfRule type="duplicateValues" dxfId="8" priority="46"/>
  </conditionalFormatting>
  <conditionalFormatting sqref="C209:D209">
    <cfRule type="duplicateValues" dxfId="7" priority="40"/>
  </conditionalFormatting>
  <conditionalFormatting sqref="C385:D385">
    <cfRule type="duplicateValues" dxfId="6" priority="17"/>
  </conditionalFormatting>
  <conditionalFormatting sqref="C401:D401">
    <cfRule type="duplicateValues" dxfId="5" priority="15"/>
  </conditionalFormatting>
  <conditionalFormatting sqref="C402:D402">
    <cfRule type="duplicateValues" dxfId="4" priority="30"/>
  </conditionalFormatting>
  <conditionalFormatting sqref="C426:D426">
    <cfRule type="duplicateValues" dxfId="3" priority="14"/>
  </conditionalFormatting>
  <conditionalFormatting sqref="C438:D439 C420:D425 C428:D428">
    <cfRule type="duplicateValues" dxfId="2" priority="31"/>
  </conditionalFormatting>
  <conditionalFormatting sqref="C525:D525 C390:D390">
    <cfRule type="duplicateValues" dxfId="1" priority="28"/>
  </conditionalFormatting>
  <conditionalFormatting sqref="F127:I127">
    <cfRule type="duplicateValues" dxfId="0" priority="44"/>
  </conditionalFormatting>
  <hyperlinks>
    <hyperlink ref="G35" r:id="rId1" display="https://vnecco.com/sungho"/>
    <hyperlink ref="G36" r:id="rId2" display="https://vnecco.com/sungho"/>
  </hyperlinks>
  <pageMargins left="0.31496062992126" right="0.31496062992126" top="0.35433070866141703" bottom="0.35433070866141703" header="0.31496062992126" footer="0.31496062992126"/>
  <pageSetup paperSize="9" orientation="landscape"/>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2025-02-26T07:09:00Z</cp:lastPrinted>
  <dcterms:created xsi:type="dcterms:W3CDTF">2024-11-04T07:06:00Z</dcterms:created>
  <dcterms:modified xsi:type="dcterms:W3CDTF">2025-11-09T06:00:54Z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1033-12.2.0.20326</vt:lpwstr>
  </property>
  <property fmtid="{D5CDD505-2E9C-101B-9397-08002B2CF9AE}" pid="3" name="ICV">
    <vt:lpwstr>844056BB1F4345BAAA90431D08501844_13</vt:lpwstr>
  </property>
</Properties>
</file>