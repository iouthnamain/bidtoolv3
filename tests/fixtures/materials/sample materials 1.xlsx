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hợ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<sst xmlns="http://schemas.openxmlformats.org/spreadsheetml/2006/main" count="2441" uniqueCount="905">
  <si>
    <t xml:space="preserve">TT</t>
  </si>
  <si>
    <t xml:space="preserve">Tên Vật tư</t>
  </si>
  <si>
    <t xml:space="preserve">THÔNG SỐ KĨ THUẬT</t>
  </si>
  <si>
    <t xml:space="preserve">Đơn vị tính</t>
  </si>
  <si>
    <t xml:space="preserve">Số lượng</t>
  </si>
  <si>
    <t xml:space="preserve">Nhà sản xuất</t>
  </si>
  <si>
    <t xml:space="preserve">Xuất xứ</t>
  </si>
  <si>
    <t xml:space="preserve">Đơn giá(gốc)</t>
  </si>
  <si>
    <t xml:space="preserve">Đơn giá( đã giảm)</t>
  </si>
  <si>
    <t xml:space="preserve">Thành tiền</t>
  </si>
  <si>
    <t xml:space="preserve">Dây điện đơn mềm VCm 0.5mm2</t>
  </si>
  <si>
    <t xml:space="preserve">Chất liệu Ruột đồng → cách điện PVC
Tiết diện 0.5 mm2 (16x0.2)
Chiều dày cách điện 0.6 mm
﻿Đường kính tổng﻿ 2.2 mm
Khối lượng 9 kg/km
Mức cách điện 300/500V</t>
  </si>
  <si>
    <t xml:space="preserve">m</t>
  </si>
  <si>
    <t xml:space="preserve">Cadivi</t>
  </si>
  <si>
    <t xml:space="preserve">Việt Nam</t>
  </si>
  <si>
    <t xml:space="preserve">Dây điện đơn mềm VCm 0.75mm2 xanh</t>
  </si>
  <si>
    <t xml:space="preserve">Dây đơn mềm VCm 0.75 mm2</t>
  </si>
  <si>
    <t xml:space="preserve">Dây điện đơn mềm VCm 0.75mm2 đỏ</t>
  </si>
  <si>
    <t xml:space="preserve">Dây điện đơn mềm VCm 0.75mm2 đen</t>
  </si>
  <si>
    <t xml:space="preserve">Dây điện tiếp địa vàng sọc xanh lá VCm0.75</t>
  </si>
  <si>
    <t xml:space="preserve">Chất liệu Ruột đồng → cách điện PVC
Tiết diện 1.0 mm2 (32x0.2)
﻿Chiều dày cách điện﻿ 0.6 mm
﻿Đường kính tổng﻿ 2.6 mm</t>
  </si>
  <si>
    <t xml:space="preserve">Dây điện đơn mềm VCm 1.0mm2</t>
  </si>
  <si>
    <t xml:space="preserve">Dây điện đơn mềm VCm 2.5 mm2</t>
  </si>
  <si>
    <t xml:space="preserve">Thương hiệu: Cadivi
● Loại dây: VCm: Cu/PVC
● Ruột dẫn: Dây đồng</t>
  </si>
  <si>
    <t xml:space="preserve">Dây điện đơn mềm VCm 1.5mm2 đỏ</t>
  </si>
  <si>
    <t xml:space="preserve">Dây điện đơn mềm VCm 1.5mm2 xanh</t>
  </si>
  <si>
    <t xml:space="preserve">Dây điện đơn mềm VCm 1.5mm2 đen</t>
  </si>
  <si>
    <t xml:space="preserve">Dây điện đôi 2x24 (2x24/0,2)</t>
  </si>
  <si>
    <t xml:space="preserve">Loại 2 lõi ruột Đồng VCmd Cu/PVC/PVC
Cấp điện áp ( Uo/U ) : 0,6/1 kV
Lớp cách điện PVC màu đỏ
( màu xanh, trắng vàng, … theo yêu cầu khách hàng )
Vỏ bảo vệ : PVC
Tiết diện danh định : 2 x 0,75 mm²
Kết cấu ( Nº x mm ) : 2 x 24 / 0,2 mm
Chiều dày lớp cách điện : 0,8 mm</t>
  </si>
  <si>
    <t xml:space="preserve">Dây điện đôi 2x32 mm2</t>
  </si>
  <si>
    <t xml:space="preserve">Tên sản phẩm: dây điện đôi Cadivi 2×32
Loại sản phẩm: Cáp điện lực hạ thế – 0.6/ 1kv.
Chất liệu: Cáp ruột đồng, cách điện PVC, dây đôi.
Nhà sản xuất: Công ty Cổ phần dây cáp điện Việt Nam Cadivi.
Kết cấu: 2 x 32/ 0.20 mm.
Mặt cắt danh nghĩa: 2 x 1.0 mm2.
Chiều dày cách điện: 0.7 mm.
Điện áp danh định: 0.6/ 1kV.
Chiều dài đóng gói: 100 m.</t>
  </si>
  <si>
    <t xml:space="preserve">Dây cáp điện CVV 5x1.5 mm2, 0.6KV/1KV</t>
  </si>
  <si>
    <t xml:space="preserve">Cấp điện áp U0/U: 0,6/1 kV.
Rated voltage U0/U: 0,6/1 kV.
Nhiệt độ làm việc dài hạn cho phép của ruột dẫn là 70 0C.
Maximum conductor temperature for normal operation is 70 0C.
Nhiệt độ cực đại cho phép của ruột dẫn khi ngắn mạch trong thời gian không quá 5 giây là 160oC.</t>
  </si>
  <si>
    <t xml:space="preserve">Cáp Điều Khiển</t>
  </si>
  <si>
    <t xml:space="preserve">Ruột dẫn: Đồng trần mềm 100% – 30/0.18mm
Số Lõi Dẫn: 25 lõi/ 25 cores/ 25 sợi
Tiết diện lõi dẫn/ Conductor size: 0.75 QMM
Chống nhiễu 2 lớp: Lớp giấy bạc chống nhiễu và lưới đồng trần
Điện áp/ Voltage: 300/500V
Nhiệt độ/ Operation Temperature: -40°C to 70°C
Vỏ ngoài/ Outer jacket, Colour: nhựa PVC, màu xám
</t>
  </si>
  <si>
    <t xml:space="preserve">Altek Kabel</t>
  </si>
  <si>
    <t xml:space="preserve">Đức</t>
  </si>
  <si>
    <t xml:space="preserve">Đầu cốt kim 0.75 mm2 màu đỏ (100 cái/bịch)</t>
  </si>
  <si>
    <t xml:space="preserve">Bịch</t>
  </si>
  <si>
    <t xml:space="preserve">OEM</t>
  </si>
  <si>
    <t xml:space="preserve">Đầu cốt kim 0.75 mm2 màu xanh (100 cái/bịch)</t>
  </si>
  <si>
    <t xml:space="preserve">Đầu cốt kim 1.0mm2 màu đỏ (100 cái/bịch)</t>
  </si>
  <si>
    <t xml:space="preserve">Đầu cos kim 1.5, mm2 màu đỏ (100 cái/bịch)</t>
  </si>
  <si>
    <t xml:space="preserve">Đầu cốt chỉa màu vàng cho dây tiếp địa 1.0mm (100 cái/bịch)</t>
  </si>
  <si>
    <t xml:space="preserve">Bịch </t>
  </si>
  <si>
    <t xml:space="preserve">Tủ điện 500x700x200x0.8mm2</t>
  </si>
  <si>
    <t xml:space="preserve">Cái</t>
  </si>
  <si>
    <t xml:space="preserve">Tủ điện 600x800x220x0.8 mm</t>
  </si>
  <si>
    <t xml:space="preserve">Cái</t>
  </si>
  <si>
    <t xml:space="preserve">Nút nhấn ON/OFF Φ22 (đỏ, vàng, xanh)</t>
  </si>
  <si>
    <t xml:space="preserve">
Kích thước lỗ lắp đặt D22mm
Kích thước D22
Màu sắc Green
Tiếp điểm 1NO+1NC
Chất liệu vỏ Plastic</t>
  </si>
  <si>
    <t xml:space="preserve">Hanyoung</t>
  </si>
  <si>
    <t xml:space="preserve">Hàn Quốc</t>
  </si>
  <si>
    <t xml:space="preserve">Nút nhấn ON/OFF - Φ25 (đỏ, vàng, xanh)</t>
  </si>
  <si>
    <t xml:space="preserve">Kích thước đầu D29.6mm
Kích thước lỗ lắp đặt D25mm
Kích thước D25
Màu sắc Green
Tiếp điểm 1NO+1NC
Chất liệu vỏ Plastic</t>
  </si>
  <si>
    <t xml:space="preserve">Nút nhấn</t>
  </si>
  <si>
    <t xml:space="preserve">Cặp tiếp điểm thường mở: 23-24
Cặp tiếp điểm thường đóng: 11-12</t>
  </si>
  <si>
    <t xml:space="preserve">LA</t>
  </si>
  <si>
    <t xml:space="preserve">China</t>
  </si>
  <si>
    <t xml:space="preserve">Nút nhấn </t>
  </si>
  <si>
    <t xml:space="preserve">Nút nhấn E -STOP CHINT 
</t>
  </si>
  <si>
    <t xml:space="preserve">Kích thước lắp đặt D22
Kích thước đầu 
D40mm
Kiểu hoạt động 
Nhấn giữ/Xoay reset</t>
  </si>
  <si>
    <t xml:space="preserve">Chint</t>
  </si>
  <si>
    <t xml:space="preserve">Nút nhấn có đèn Chint  (màu xanh+đỏ+vàng)
</t>
  </si>
  <si>
    <t xml:space="preserve">Điện áp hoạt động định mức Ue (V)
AC-15: 415/380/240/220; DC-13: 250/220/125/110
Dòng điện hoạt động định mức(mA)
AC-15: 1.9/2.5/3/4.5; DC-13: 0.27/0.3/0.55/0.6
Điện áp cách điện định mức Ui (V)
415
Nhiệt thông thường Ith hiện tại (A)
10
Điện áp chịu xung định mức Uimp (kV)
2.5
Lớp bảo vệ đầu
IP40, IP65</t>
  </si>
  <si>
    <t xml:space="preserve">Nút ấn có đèn màu xanh phi 22mm, 1 tiếp điểm NO, 1 tiếp điểm NC</t>
  </si>
  <si>
    <t xml:space="preserve">Đường kính lỗ: 22mm
- Loại nhấn nhả
- Màu xanh lá
- Đèn 24V 
- Tiếp điểm bạc dày
- Có thể mở rộng thêm tiếp điểm phụ</t>
  </si>
  <si>
    <t xml:space="preserve">Nút ấn có đèn màu đỏ phi 22mm, 1 tiếp điểm NO, 1 tiếp điểm NC</t>
  </si>
  <si>
    <t xml:space="preserve">Đường kính lỗ: 22mm
- Loại nhấn nhả
- Màu đỏ
- Đèn 24V
- Có thể mở rộng thêm tiếp điểm phụ</t>
  </si>
  <si>
    <t xml:space="preserve">Đèn báo  Ø22, 24VDC (màu xanh+đỏ+vàng)</t>
  </si>
  <si>
    <t xml:space="preserve">SUNGHO</t>
  </si>
  <si>
    <t xml:space="preserve">HQ</t>
  </si>
  <si>
    <t xml:space="preserve">Đèn báo pha Ø22. 220VAC (đỏ+xanh+vàng)</t>
  </si>
  <si>
    <t xml:space="preserve">Dây rút 100mm (màu trắng)</t>
  </si>
  <si>
    <t xml:space="preserve">Dây rút 150mm</t>
  </si>
  <si>
    <t xml:space="preserve">Dây rút 200mm</t>
  </si>
  <si>
    <t xml:space="preserve">Dây rút 250 mm</t>
  </si>
  <si>
    <t xml:space="preserve">Dây rút 300mm</t>
  </si>
  <si>
    <t xml:space="preserve">Tiếp điểm phụ contactor LS</t>
  </si>
  <si>
    <t xml:space="preserve">LS</t>
  </si>
  <si>
    <t xml:space="preserve">Tiếp điểm phụ Schneider LAEN22</t>
  </si>
  <si>
    <t xml:space="preserve">Schneider</t>
  </si>
  <si>
    <t xml:space="preserve">Tiếp điểm phụ GVAE11 1NO+1NC</t>
  </si>
  <si>
    <t xml:space="preserve">Cảm biến quang Hanyoung PE-M3D</t>
  </si>
  <si>
    <t xml:space="preserve">Cảm biến sợi quang  BF3RX</t>
  </si>
  <si>
    <t xml:space="preserve">Loại : Loại tích hợp dung tích gấp đôi
Nguồn sáng : LED đỏ(660nm)
Thời gian đáp ứng : Max. 1ms
Nguồn cấp : 12-24VDC ±10%(sóng P-P: max. 10%)
Chế độ hoạt động : Light ON/Dark ON(cài đặt bằng dây điều khiển)
Ngõ ra điều khiển : NPN mạch thu hở</t>
  </si>
  <si>
    <t xml:space="preserve">Autonics</t>
  </si>
  <si>
    <t xml:space="preserve">Sợi quang FT-320-05</t>
  </si>
  <si>
    <t xml:space="preserve">Kích thước: Phi 3mm-Sợi quang phi 0.5mm - 2M
 Loại phát hiện: Chùm tia thu phát
 Chất liệu cảm biến: Cáp sợi bằng nhựa</t>
  </si>
  <si>
    <t xml:space="preserve">Cảm biến tiệm cận điện cảm PR12-8DP </t>
  </si>
  <si>
    <t xml:space="preserve">Loại dây và nguồn : DC 3 dây 12-24VDC
Đường kính cạnh phát hiện : M12
Khoảng cách phát hiện : 8mm
Cài đặt : Không có tấm chắn (phẳng)
Khoảng cách phát hiện tiêu chuẩn : 25×25×1mm(sắt)</t>
  </si>
  <si>
    <t xml:space="preserve">Cảm biến vị trí xilanh SMC D-A93</t>
  </si>
  <si>
    <t xml:space="preserve">Sử dụng điện áp 24VDC hoặc 100VAC kiểu mắc tải nối tiếp 2 dây.
- Tích hợp Led báo ngõ ra khi có tác động
- Dòng tải sử dụng  5-40mA</t>
  </si>
  <si>
    <t xml:space="preserve">Nhật Bản</t>
  </si>
  <si>
    <t xml:space="preserve">Cảm biến sợi quang ngõ ra PNP 12~24VDC, Omron E3X-ZD41 </t>
  </si>
  <si>
    <t xml:space="preserve">Nguồn cấp: 12~24VD . Nguồn sáng: Red LED (620nm)
Ngõ ra PNP
Thời gian đáp ứng: 200us
Chọn chế độ ngõ ra: Light-on / Dark-on
Chức năng timer: OFF-delay (40ms fixed)</t>
  </si>
  <si>
    <t xml:space="preserve">Omron</t>
  </si>
  <si>
    <t xml:space="preserve">Cảm biến từ cảm loại hai dây 24VDC, PNP NO</t>
  </si>
  <si>
    <t xml:space="preserve">Điện áp : 5-240V AC/DC
Dòng điện : 100mA
Nhiệt độ : -10-80ºc
Tiêu chuẩn : IP64</t>
  </si>
  <si>
    <t xml:space="preserve">Airtac</t>
  </si>
  <si>
    <t xml:space="preserve">Đài Loan</t>
  </si>
  <si>
    <t xml:space="preserve">Cảm biến từ cảm loại ba dây 24VDC,PNP NO</t>
  </si>
  <si>
    <t xml:space="preserve">Loại dây và nguồn : DC 3 dây 12-24VDC
Đường kính cạnh phát hiện : M30
Khoảng cách phát hiện : 15mm
Cài đặt : Không có tấm chắn (phẳng)
Khoảng cách phát hiện tiêu chuẩn : 45×45×1mm(sắt)</t>
  </si>
  <si>
    <t xml:space="preserve">Cảm biến điện từ 2  dây</t>
  </si>
  <si>
    <t xml:space="preserve">Cảm biến từ cảm loại hai dây</t>
  </si>
  <si>
    <t xml:space="preserve">Điện áp: 90 ~ 250V AC
– Loại cảm biến: NO
– Dòng ra: &lt; 300mA
– Đối tượng phát hiện: Kim loại đồng, sắt, nhôm, vàng…
– Tần số đáp ứng: 200Hz
– Chiều dài cable: 1.5 mét</t>
  </si>
  <si>
    <t xml:space="preserve">Cảm biến từ cảm loại ba dây</t>
  </si>
  <si>
    <t xml:space="preserve">Kích thước: 12 mm.
+ Chất liệu: nhựa + sắt.
+ Điện áp hoạt động: 6VDC – 36VDC.
+ Dòng điện ngõ ra: 300mA.
+ Ngõ ra: PNP, 3 dây.</t>
  </si>
  <si>
    <t xml:space="preserve">Cảm biến từ</t>
  </si>
  <si>
    <t xml:space="preserve">Model: LJ12A3 
Phát hiện: Kim loại. 
Nguồn: 5~36VDC 
Dòng tiêu thụ: 300 mA 
Khoảng đo: 0~4mm 
</t>
  </si>
  <si>
    <t xml:space="preserve">Bộ</t>
  </si>
  <si>
    <t xml:space="preserve">Cảm biến quang</t>
  </si>
  <si>
    <t xml:space="preserve">Phương pháp phát hiện Phản xạ trực tiếp
Khoảng cách phát hiện 600mm, 900mm
Môi trường hoạt động Tiêu chuẩn
Vật liệu vỏ bọc sợi Nhựa nhiệt dẻo Polyethylene
Chất liệu đầu cảm biến Đồng thau mạ niken
Loại Sợi quang</t>
  </si>
  <si>
    <t xml:space="preserve">Japan</t>
  </si>
  <si>
    <t xml:space="preserve">Cảm biến sợi quang 24VDC,PNP NO</t>
  </si>
  <si>
    <t xml:space="preserve">2 sợi, Khoảng cách 500mm
Kích thước: L=2m</t>
  </si>
  <si>
    <t xml:space="preserve">Cảm biến quang loại 3 dây 24VDC,PNP NO</t>
  </si>
  <si>
    <t xml:space="preserve">Nguồn cấp 10…30VDC
Phương pháp phát hiện Thu-phát chung
Khoảng cách phát hiện 400mm
Loại đầu ra NPN
Chế độ hoạt động Dark ON, Light ON</t>
  </si>
  <si>
    <t xml:space="preserve">Bộ</t>
  </si>
  <si>
    <t xml:space="preserve">Cảm biến 2 đầu xi lanh 24VDC,PNP NO</t>
  </si>
  <si>
    <t xml:space="preserve">Ngõ ra:
DC 2-dây NO, kích âm (0V) hoặc kích dương (24VDC)
Kích âm (0V/NPN): dây xanh đấu 0V, dây nâu ngõ ra
Kích dương (24VDC/PNP): dây nâu đấu 24VDC, dây xanh ngõ ra
Dòng tải: 5-40 mA
Điện áp tải: 24VDC
AC 2-dây NO
Dòng tải: 5-20mA
Điện áp tải: 100VAC 50/60Hz
Thiết kế bảo vệ mạch: không có
Led hiển thị trạng thái ON: Led đỏ
Thời gian đáp ứng: 1ms
Cấp bảo vệ: IP67
Dây dài 0.8m</t>
  </si>
  <si>
    <t xml:space="preserve">SMC</t>
  </si>
  <si>
    <t xml:space="preserve">Cảm biến điện dung 3  dây</t>
  </si>
  <si>
    <t xml:space="preserve">Cảm biến điện dung 3 dây</t>
  </si>
  <si>
    <t xml:space="preserve">Loại dây và nguồn : DC 3 dây 12-24VDC
Đường kính cạnh phát hiện : M18
Khoảng cách phát hiện : 8mm
Khoảng cách phát hiện tiêu chuẩn : 50×50×1mm(sắt)
Tần số đáp ứng : 50Hz
Thông số dòng : Dòng tiêu thụ: Max.15mA
Ngõ ra điều khiển : PNP Thường Mở
Cấu trúc bảo vệ : IP66
</t>
  </si>
  <si>
    <t xml:space="preserve">Cảm biến áp suất </t>
  </si>
  <si>
    <t xml:space="preserve">Chất lỏng áp dụng : (Loại khí nén) Khí, khí không ăn mòn
Hướng lắp đặt cổng áp suất : Lắp mặt sau
Cổng áp suất : Rc1/8
Loại kết nối : Loại giắc cắm(Loại giắc cắm cáp: 2m)
Loại áp suất : Áp suất tiêu chuẩn
Nguồn cấp : 12-24VDC ±10%(sóng P-P: max. 10%)
Dòng tiêu thụ : Loại ngõ ra điện áp: Max. 50mA
Loại ngõ ra dòng: Max. 75mA
Cấu trúc bảo vệ : IP40</t>
  </si>
  <si>
    <t xml:space="preserve">Cảm biến hồng ngoại, chuyển động</t>
  </si>
  <si>
    <t xml:space="preserve">Cảm biến chuyển động hồng ngoại Chữ nhật quét góc 180 độ IP20 mã IRS1-H
Dòng sản phẩm :</t>
  </si>
  <si>
    <t xml:space="preserve">MPE</t>
  </si>
  <si>
    <t xml:space="preserve">Xi lanh khí nén tác động kép, có giảm chấn, d = 16mm, h = 100mm.</t>
  </si>
  <si>
    <t xml:space="preserve">Nhà sản xuất: LAIZE
– Model: MAL-16
– Hành trình: 100mm
– Áp suất làm việc: 0.15 – 1MPA
– Đường kính trục Piston: 6mm
– Vít trục Piston: M6
– Loại thanh: thanh đơn
– Điều khiển bằng không khí
– Loại hành động: tác động kép
– Không tự quay lại
– Chất liệu: Hợp kim nhôm &amp; nhiều vật liệu khác</t>
  </si>
  <si>
    <t xml:space="preserve">LAIZE</t>
  </si>
  <si>
    <t xml:space="preserve">Xi lanh khí nén tác động kép</t>
  </si>
  <si>
    <t xml:space="preserve">JONGDAI MAL</t>
  </si>
  <si>
    <t xml:space="preserve">Cụm 5 van điện từ 5/2 + đế</t>
  </si>
  <si>
    <t xml:space="preserve">Van khí nén Airtac 5/2
Điện áp: DC12V, DC24V, AC24V, AC110V, AC220V
Kích thước cửa khí: 1/8″, 1/4″, 3/8″
Kích thước cửa xả khí: 1/8″, 1/4″
Chất liệu thân van: nhôm
Tiêu chuẩn coil điện: IP67
Loại: 1 coil điện, 2 coil điện</t>
  </si>
  <si>
    <t xml:space="preserve">bộ</t>
  </si>
  <si>
    <t xml:space="preserve">Van điện từ 5/2</t>
  </si>
  <si>
    <t xml:space="preserve">Solenoid valve 5/2 tác động điện từ 2 đầu, 5 cửa và 2 vị trí làm việc.
Áp suất tối đa: 0.7 MPa
Điện áp van điện từ: 24V DC</t>
  </si>
  <si>
    <t xml:space="preserve">Van tiết lưu khí nén M5, dây hơi 4mm</t>
  </si>
  <si>
    <t xml:space="preserve">Đường kính ống (Ø D) 4mm
Ren ngoài (R) M5
Chiều dài ren ngoài (L) 3.5mm
Kích thước (C x EA) 30 x 19mm</t>
  </si>
  <si>
    <t xml:space="preserve">Đầu nối chuyển khí nén, ống hơi 6-4mm (PG6-4)</t>
  </si>
  <si>
    <t xml:space="preserve">Áp suất làm việc : 0 - 1 MPA
Nhiệt độ làm việc : 0 - 60 độ C
Dẫn lưu : Không khí, chân không
Vật liệu : Chất liệu PU, PE ,</t>
  </si>
  <si>
    <t xml:space="preserve">Van công tắc khí nén HVFF-4</t>
  </si>
  <si>
    <t xml:space="preserve">Áp suất làm việc : 0 - 1 MPA
Nhiệt độ làm việc : 0 - 60 độ C
Dẫn lưu : Không khí, chân không
Vật liệu : Chất liệu PU, PE , Chất liệu đồng</t>
  </si>
  <si>
    <t xml:space="preserve">Công tắc nguồn 3 pha Hanyoung 25A 690VAC</t>
  </si>
  <si>
    <t xml:space="preserve">Số cực: 3P
- Vít: M4
- Điện áp cách điện: 690VAC
- Cấu trúc bảo vệ: IP64</t>
  </si>
  <si>
    <t xml:space="preserve">Đầu đực cắm thí nghiệm nhanh Jack 4mm</t>
  </si>
  <si>
    <t xml:space="preserve">Đầu cái cắm thí nghiệm nhanh Jack 4mm</t>
  </si>
  <si>
    <t xml:space="preserve">Ống khí nén Ø4 mm</t>
  </si>
  <si>
    <t xml:space="preserve">Khớp nối : Ø4mm
Áp lực vận hành : Max. 231 Psi
Lực tác động : Max. 15 kgf/cm²
Lưu chất : các loại khí
Biên nhiệt : -20 ~ 60ºC
Chất liệu : Polyurethane</t>
  </si>
  <si>
    <t xml:space="preserve">M</t>
  </si>
  <si>
    <t xml:space="preserve">Sang A</t>
  </si>
  <si>
    <t xml:space="preserve">Ống khí nén Ø6 mm.</t>
  </si>
  <si>
    <t xml:space="preserve">Khớp nối : Ø6mm
Áp lực vận hành : Max. 231 Psi
Lực tác động : Max. 15 kgf/cm²
Lưu chất : các loại khí
Biên nhiệt : -20 ~ 60ºC
Chất liệu : Polyurethane</t>
  </si>
  <si>
    <t xml:space="preserve">Mét</t>
  </si>
  <si>
    <t xml:space="preserve">lyon</t>
  </si>
  <si>
    <t xml:space="preserve">Súng thổi khí Total TAT3031-3</t>
  </si>
  <si>
    <t xml:space="preserve">Chiều dài ống phun: 16mm
Đầu nối kiểu Nitto
</t>
  </si>
  <si>
    <t xml:space="preserve">Total</t>
  </si>
  <si>
    <t xml:space="preserve">Ống dây khí xoắn phi 8mm</t>
  </si>
  <si>
    <t xml:space="preserve">Test boad cắm cái</t>
  </si>
  <si>
    <t xml:space="preserve">Kích thước: 5.5 x 8.2 x 0.85 cm.
- Số lỗ: 400 lỗ.
- Vật liệu: nhựa ABS, thiết mạ đồng.
- Chịu tải / dòng: 300V / 3-5A.</t>
  </si>
  <si>
    <t xml:space="preserve">LED siêu sáng đỏ /vàng - 3mm</t>
  </si>
  <si>
    <t xml:space="preserve">Loại led: led đơn siêu sáng.
- Kích thước bóng: đường kính 3mm.
- Số chân: 2 chân.
- Chiều dài chân: 28 mm - 29 mm.</t>
  </si>
  <si>
    <t xml:space="preserve">Con</t>
  </si>
  <si>
    <t xml:space="preserve">LED siêu sáng trắng - 3mm</t>
  </si>
  <si>
    <t xml:space="preserve">LED siêu sáng xanh lá - 3mm</t>
  </si>
  <si>
    <t xml:space="preserve">Led 7 đoạn - Anode</t>
  </si>
  <si>
    <t xml:space="preserve">Màu đỏ
A chung (A anode) dương chung
4 Dot
12 chân
Điện áp rơi trên LED là 2.2V
Dòng tối đa chạy qua mỗi LED là 25mA</t>
  </si>
  <si>
    <t xml:space="preserve">Led 7 đoạn - Kathode</t>
  </si>
  <si>
    <t xml:space="preserve">Màu đỏ
- Cathode chung
- 4 Dot
- 12 chân
- Điện áp rơi trên LED là 2.2V
- Dòng tối đa chạy qua mỗi LED là 25mA</t>
  </si>
  <si>
    <t xml:space="preserve">Led phát hồng ngoại</t>
  </si>
  <si>
    <t xml:space="preserve">Kích thước 5x5x3.6mm
- Điện áp 1.2 -1.6 VDC.
- Đường kính led  5mm
- Kiểu chân 2.54mm
- Chiều dài chân 27mm
- Chân Thẳng
- Bước sóng 940nm</t>
  </si>
  <si>
    <t xml:space="preserve">Led thu hồng ngoại</t>
  </si>
  <si>
    <t xml:space="preserve">Thạch anh 4 MHz</t>
  </si>
  <si>
    <t xml:space="preserve">Tần số 4 MHz.
- Kiểu chân cắm.
- 3 chân cắm.</t>
  </si>
  <si>
    <t xml:space="preserve">Tụ điện 33pF</t>
  </si>
  <si>
    <t xml:space="preserve">Điện dung
33 pF
Điện áp
50V
Kiểu chân
Xuyên lỗ</t>
  </si>
  <si>
    <t xml:space="preserve">Tụ điện 10 mF</t>
  </si>
  <si>
    <t xml:space="preserve">Điện dung: 10 uF
     -   Điện áp: 50V
     -   Nhiệt độ hoạt động: - 55°C -- 125°C
     -   Loại: Tụ phân cực</t>
  </si>
  <si>
    <t xml:space="preserve">Điện trở 10k</t>
  </si>
  <si>
    <t xml:space="preserve">Nhiệt độ hoạt động: -55oC – 155oC
Linh kiện xuyên lỗ: 0.5mm
Loại: Điện trở cố định</t>
  </si>
  <si>
    <t xml:space="preserve">Điện trở 2,2k</t>
  </si>
  <si>
    <t xml:space="preserve">Điện trở 100 Ω</t>
  </si>
  <si>
    <t xml:space="preserve">Điện trở 1k</t>
  </si>
  <si>
    <t xml:space="preserve">Điện trở 4k7</t>
  </si>
  <si>
    <t xml:space="preserve">Điện trở 330 Ohm</t>
  </si>
  <si>
    <t xml:space="preserve">IRF 640</t>
  </si>
  <si>
    <t xml:space="preserve">Loại gói: TO-220
Loại transistor: Kênh N
Điện áp tối đa từ cực máng đến cực nguồn: 200V
Điện áp tối đa từ cực cổng đến cực nguồn: ± 20V
Dòng cực máng tối đa liên tục: 18A
Dòng xung cực máng tối đa: 72A
Công suất tiêu tán tối đa: 125W
Điện áp tối thiểu cần thiết để dẫn: 2V đến 4V
Nhiệt độ lưu trữ và hoạt động tối đa: -55 đến +150 độ C.</t>
  </si>
  <si>
    <t xml:space="preserve">IC 555</t>
  </si>
  <si>
    <t xml:space="preserve">Điện áp đầu vào: 4.5-16V
Dòng điện cung cấp : 10mA - 15mA
Điện áp logic ở mức cao : 0.5 - 15VĐiện áp logic ở mức thấp : 0.03 - 0.06V
Công suất lớn nhất là : 600mW
 Nhiệt độ hoạt động: 0 – 70oC</t>
  </si>
  <si>
    <t xml:space="preserve">IC741</t>
  </si>
  <si>
    <t xml:space="preserve">Model: 8 chân, xuyên lỗ
 Điện áp cung cấp max: +/-18V (Vcc)
Công suất cực đại: 500mW
  Dải nhiệt độ hoạt động: 0 ~ 70oC</t>
  </si>
  <si>
    <t xml:space="preserve">IC cách ly quang PC817</t>
  </si>
  <si>
    <t xml:space="preserve">Điện áp tín hiệu vào: 3.6-24V
- Điện áp tín hiệu ra: 3.6-30V
- 4 kênh độc lập
</t>
  </si>
  <si>
    <t xml:space="preserve">IC LM 555 (IC Dao động)</t>
  </si>
  <si>
    <t xml:space="preserve">Điện áp đầu vào: 4.5-16V
Dòng điện cung cấp : 10mA - 15mA
Điện áp logic ở mức cao : 0.5 - 15V
Điện áp logic ở mức thấp : 0.03 - 0.06V</t>
  </si>
  <si>
    <t xml:space="preserve">Transistor C828</t>
  </si>
  <si>
    <t xml:space="preserve">Loại transistor: NPN
Dòng cực góp tối đa (IC): 100mA
Điện áp cực góp - cực phát tối đa (VCE): 25V
Điện áp cực góp - cực gốc tối đa (VCB): 30V
Điện áp cực phát - cực gốc tối đa (VEBO): 7V</t>
  </si>
  <si>
    <t xml:space="preserve">Transistor A1015</t>
  </si>
  <si>
    <t xml:space="preserve">Loại transistor PNP
Điện áp C-E là: -50 V
Điện áp C-B là: -50 V
Điện áp E-B là: -5 v
Dòng điện cực thu: -0.15 A
Hệ số khuếch đại dòng một chiều (hfe) - 70 đến 400</t>
  </si>
  <si>
    <t xml:space="preserve">Transistor 2SC1015</t>
  </si>
  <si>
    <t xml:space="preserve">Loại transistor PNP
Điện áp C-E là: -50 V
Điện áp C-B là: -50 V
Điện áp E-B là: -5 v
Dòng điện cực thu: -0.15 A
Hệ số khuếch đại dòng một chiều (hfe) - 70 đến 400</t>
  </si>
  <si>
    <t xml:space="preserve">Công tắc chuyển mạch</t>
  </si>
  <si>
    <t xml:space="preserve">Công tắc xoay Φ22 – Công tắc xoay 3 vị trí (45 độ), IP 65 ngoài mặt tủ
2NO, tự trả về từ bên phải</t>
  </si>
  <si>
    <t xml:space="preserve">Nút dừng khẩn cấp</t>
  </si>
  <si>
    <t xml:space="preserve">NÚT NHẤN KHẨN ĐỎ
Kích thước: Φ25 mm
Tiếp điểm: 1NO + 1NC</t>
  </si>
  <si>
    <t xml:space="preserve">Dây co nhiệt Ø2 (màu đen)</t>
  </si>
  <si>
    <t xml:space="preserve">Cuộn</t>
  </si>
  <si>
    <t xml:space="preserve">dây co nhiệt Φ 4.0mm</t>
  </si>
  <si>
    <t xml:space="preserve">Đô mi nô 12p</t>
  </si>
  <si>
    <t xml:space="preserve">Số cực: 12P
 Dòng nhiệt định mức: 20A</t>
  </si>
  <si>
    <t xml:space="preserve">Cầu đấu dây (Terminal Push-in) </t>
  </si>
  <si>
    <t xml:space="preserve">Dòng điện định mức: 24A
- Rộng 5.2mm</t>
  </si>
  <si>
    <t xml:space="preserve">Cầu đấu dây UK 5N (đơn)</t>
  </si>
  <si>
    <t xml:space="preserve">Kích thước: rộng 4.3mm
– Thương hiệu: CHFRPU
– Màu sắc: Xám Xanh
– Xuất xứ:
– Chất lượng: mới 100%
– Điện áp định mức: 800V
– Dòng điện: 41A
– Tiết diện dây: dành cho dây từ 0.2 đến 6mm2
–Tiết diện dây dấu nối danh định: 4mm2</t>
  </si>
  <si>
    <t xml:space="preserve">Cầu đấu Terminal loại UK3N màu xám</t>
  </si>
  <si>
    <t xml:space="preserve">Kích thước: rộng 5.2mm
– Thương hiệu: Công nghệ Xixiang
– Màu sắc: Xám Xanh
– Xuất xứ:
– Chất lượng: mới 100%
– Dòng điện:24A
– Điện áp: 800V
– Tiết diện dây: dành cho dây từ 0.2 đến 4mm2
–Tiết diện dây dấu nối danh định: 2.5mm2
– Vật liệu: Vỏ ngoài: bằng nhựa màu xám, bền, dẻo và cháy chậm</t>
  </si>
  <si>
    <t xml:space="preserve">Xixiang</t>
  </si>
  <si>
    <t xml:space="preserve">Cầu đấu Terminal loại UK3N màu xanh lá cây dành cho tiếp địa</t>
  </si>
  <si>
    <t xml:space="preserve">Chặn cuối cầu đấu E/UK</t>
  </si>
  <si>
    <t xml:space="preserve">Cầu đấu Terminal UKK3 2 tầng màu xám</t>
  </si>
  <si>
    <t xml:space="preserve">Tiết diện dây: 2.5mm2.
Dòng điện: 32A.
Điện áp: 800V.
Chất liệu: Đồng 100%.
Kích thước: H62 x W62 x T5.2mm.</t>
  </si>
  <si>
    <t xml:space="preserve">Thanh cầu nối giữa Terminal FBI 10 - 5 (UK3N)</t>
  </si>
  <si>
    <t xml:space="preserve">Chất liệu Kim loại, Brass
Chức năng Cầu nối giữa
Kiểu lắp đặt Lắp trên thân đầu nối cáp</t>
  </si>
  <si>
    <t xml:space="preserve">Thanh</t>
  </si>
  <si>
    <t xml:space="preserve">Nút dừng khẩn cấp Ø22</t>
  </si>
  <si>
    <t xml:space="preserve">Loại sản phẩm: Nút nhấn khẩn
 Type: Nhấn giữ
 Tiếp điểm: 1NC</t>
  </si>
  <si>
    <t xml:space="preserve">IDEC</t>
  </si>
  <si>
    <t xml:space="preserve">Công tắc hành trình nam châm 2 dây</t>
  </si>
  <si>
    <t xml:space="preserve">Điện áp định mức 10-28VDC
Led Led báo ngõ ra khi có tác động
Dòng hoạt động 2.5-40mA</t>
  </si>
  <si>
    <t xml:space="preserve">Công tắc hành trình</t>
  </si>
  <si>
    <t xml:space="preserve">Dòng tiếp điểm: 15A tại 250VAC
- Tiếp điểm: SPDT (1NO-1NC)
- Kiểu tác động: Chốt đòn bẩy dài
- Tần số hoạt động: + Cơ: 600 lần/Max + Điện: 60 lần/Max
- Chống va đập: + Độ bền: 1000m/s2 + Sự cố: 3000m/s2
- Kiểu đấu nối: Thiết bị đầu cuối kết nối nhanh
- Nhiệt độ môi trường: -25-80°C
- Cấp bảo vệ: IEC IP40</t>
  </si>
  <si>
    <t xml:space="preserve">Công tắc hành trình hanyuong HY-M904</t>
  </si>
  <si>
    <t xml:space="preserve">DÒNG ĐỊNH MỨC 6A, 250VAC
THIẾT BỊ TRUYỀN ĐỘNG (BỘ PHẬN VẬN HÀNH) Cần gạt đầu con lăn, có thể điều chỉnh kích thước
VẬT LIỆU TIẾP ĐIỂM AgNi
CẤU TRÚC TIẾP ĐIỂM Terminal vít M4 siết chặt, loại 2 mạch đôi (1a1b)</t>
  </si>
  <si>
    <t xml:space="preserve">Công tắc hành trình con lăn loại nhỏ</t>
  </si>
  <si>
    <t xml:space="preserve">Tiếp điểm điều khiển: 1NO+1NC
 Kiểu tác động: Pít tông đỉnh đầu
 Kết nối dây: Chân hàn</t>
  </si>
  <si>
    <t xml:space="preserve">Công tắc nguồn 3 pha MAS-025A</t>
  </si>
  <si>
    <t xml:space="preserve">Loại Công tắc đóng cắt trực tiếp động cơ điện
Số cực 3P
Vít M4
Điện áp cách điện 690V AC
Điện áp hoạt động 600V AC
Dòng điện hiện tại 25A
Áp dụng loại AC-21A</t>
  </si>
  <si>
    <t xml:space="preserve">Vỏ + cầu chì RT28N-32X/1P</t>
  </si>
  <si>
    <t xml:space="preserve">Khởi Động Từ LS MC 9B AC 220V</t>
  </si>
  <si>
    <t xml:space="preserve">Dòng điện : 9A
Điện áp điều khiển : 220VAC
Tiếp điểm : 1NONC</t>
  </si>
  <si>
    <t xml:space="preserve">CB 3 Pha Sino Vanlock 32A</t>
  </si>
  <si>
    <t xml:space="preserve">Thương hiệu: Sino
Mã sản phẩm: SC68N/C3032
Số cực: 3 cực
Dòng định mức: 32A
Khả năng chịu dòng cắt: 6kA
Điện áp định mức: 415V AC</t>
  </si>
  <si>
    <t xml:space="preserve">SINO</t>
  </si>
  <si>
    <t xml:space="preserve">CB 1 Pha Sino Vanlock 32A</t>
  </si>
  <si>
    <t xml:space="preserve">Khả năng ngắn mạch danh định : 4,5kA
-Dòng điện danh định : 32A
-Màu sắc: Nhựa màu trắng
-1 cực vào, 1 cực ra</t>
  </si>
  <si>
    <t xml:space="preserve">CB 1 pha 2 cực </t>
  </si>
  <si>
    <t xml:space="preserve"> iK60N MCB 2P 6kA 230V 32A</t>
  </si>
  <si>
    <t xml:space="preserve">MCB 1pha 1 cực </t>
  </si>
  <si>
    <t xml:space="preserve">iK60N MCB 1P 6kA 230V 32A</t>
  </si>
  <si>
    <t xml:space="preserve">RCBO chống giật</t>
  </si>
  <si>
    <t xml:space="preserve">Dòng: Acti 9 iDPN N Vigi
Số cực: 1P + N
Dòng điện định mức: 32A
Đường cong loại: C
Dòng rò: 30mA
Điện áp làm việc định mức [Ue]: 230V AC 50Hz
Điện áp cách điện định mức [Ui]: 400V AC 50Hz
Xung điện áp định mức [Uimp]: 4 kV
Dòng thực tế cắt được [Ics]: 6kA
Tiêu chuẩn: IEC 1008
Cấp độ bảo vệ: IP20</t>
  </si>
  <si>
    <t xml:space="preserve">CB chống giật</t>
  </si>
  <si>
    <t xml:space="preserve">Dòng cắt 
4.5kA
Dòng rò 
30mA
Dòng điện 
16A
Số cực 
1P+N
Điện áp ngõ vào 
1 Pha</t>
  </si>
  <si>
    <t xml:space="preserve">CB chống rò Schneider EZ9R34440 40A 30mA 4P</t>
  </si>
  <si>
    <t xml:space="preserve">Số cực: 4P
Dòng điện định mức: 40A
Dòng rò: 30mA</t>
  </si>
  <si>
    <t xml:space="preserve">Schneider CB từ nhiệt bảo vệ động cơ 4.0-6.3A GV2ME10</t>
  </si>
  <si>
    <t xml:space="preserve">Công suất 
2.2kW
Dòng điện 
4A, 6.3A</t>
  </si>
  <si>
    <t xml:space="preserve">MCCB 40 A</t>
  </si>
  <si>
    <t xml:space="preserve">Số cực: 3P
Kích thước khung 50AF
Gắn thanh DIN
Dòng điện định mức: 40A, 50A, 60A
Điện áp định mức: 500V
Dòng cắt: 2.5kA (415V) 10kA (100V, 200V)</t>
  </si>
  <si>
    <t xml:space="preserve">PANASONIC</t>
  </si>
  <si>
    <t xml:space="preserve">Contactor LC1D09BD</t>
  </si>
  <si>
    <t xml:space="preserve">Số cực: 3P
 Dòng tiếp điểm: 9A</t>
  </si>
  <si>
    <t xml:space="preserve">Contactor MC-12A</t>
  </si>
  <si>
    <t xml:space="preserve">Số cực:  3
 Dòng định mức:  12A
 Công suất:  5.5kW
 Tiếp điểm phụ:  1a</t>
  </si>
  <si>
    <t xml:space="preserve">Contactor LS MC-9b 220V 9A 4kW 1NC+1NO</t>
  </si>
  <si>
    <t xml:space="preserve">Dòng điện (Ie) 
9A
Số cực 
3P
Tiếp điểm chính 
3NO
Cuộn dây 
220VAC
Tiếp điểm phụ 
1NO+1NC</t>
  </si>
  <si>
    <t xml:space="preserve">Contactor NXC-25 + tiếp điểm phụ AX-3X/22</t>
  </si>
  <si>
    <t xml:space="preserve">Loại
Tiếp điểm phụ
Tiếp điểm tác động
2NO + 2NC
Kiểu lắp
Lắp phía trên
Nhiệt độ môi trường
-10 ~ 55  °C</t>
  </si>
  <si>
    <t xml:space="preserve">Counter DHH48J-A (8)</t>
  </si>
  <si>
    <t xml:space="preserve">Điện áp nguồn: AC220V
- Dòng tiếp điểm: 5A - 250VAC
- Dải đếm có thểđiều chỉnh:
- Số chân: 8 chân tròn (có đế đi kèm)
- Kích thước (mm): 48W x 48D x 84D
- Màn hình LED 7 thanh hiển thị hai chữ số, có kèm nút reset</t>
  </si>
  <si>
    <t xml:space="preserve">Contactor Schneider LC1D09M7 9A 1NO+1NC 220V</t>
  </si>
  <si>
    <t xml:space="preserve">Contactor LS MC-22b</t>
  </si>
  <si>
    <t xml:space="preserve">Số cực:  3
 Dòng định mức:  22A
 Công suất:  11kW
 Tiếp điểm phụ:  1a1b
 Cuộn hút:  220V, 380V,...</t>
  </si>
  <si>
    <t xml:space="preserve">Công tắc tơ LS MC32a</t>
  </si>
  <si>
    <t xml:space="preserve">Số cực:  3
 Dòng định mức:  32A
 Công suất:  15kW
 Tiếp điểm phụ:  2a2b
 Cuộn hút:  220V, 380V,...
 Kích thước:  
 Điện áp hoạt động:  690VAC
 Điện áp thử nghiệm xung (Uimp):  6kV</t>
  </si>
  <si>
    <t xml:space="preserve">Rơ le nhiệt LS - MT -32</t>
  </si>
  <si>
    <t xml:space="preserve">Số cực:  3
 Dải điều chỉnh:  6-9A
 Điện áp hoạt động:  690V
 Điện áp thử nghiệm xung (Uimp):  6kV</t>
  </si>
  <si>
    <t xml:space="preserve">Rơ le nhiệt NXR-25</t>
  </si>
  <si>
    <t xml:space="preserve">Phân loại : Rơ le nhiệt
Điện áp định mức : 220V-690V
Dòng điện định mức : 0.25-0.4A
số pha : 3 pha
Tiêu chuẩn : IEC 60947-4/5-1</t>
  </si>
  <si>
    <t xml:space="preserve">Rơ le thời gian DH48S-2Z + đế</t>
  </si>
  <si>
    <t xml:space="preserve">Điện áp nguồn 200-240VAC
Dải đếm 0.1s-99H
Dòng cho tiếp điểm 5A/220V
Số chân: 8 chân tròn</t>
  </si>
  <si>
    <t xml:space="preserve">Rơ le thời gian + đế 220VAC</t>
  </si>
  <si>
    <t xml:space="preserve">Bộ định thời – Dòng T48N
Không hiển thị – Cài đặt núm vặn – On Delay – 8 chân tròn
Kích thước: 48 x 48
24 ~ 240V Ac/Dc ǁ 1s/ 1m/ 1h
Hanyoung T48N</t>
  </si>
  <si>
    <t xml:space="preserve">Rờ le thời gian  + Đế</t>
  </si>
  <si>
    <t xml:space="preserve">NGUỒN CẤP: 220V
Loại relay: ON Delay
Thời gian trễ: 30 - 480 giây
Tiếp điểm: 1NO</t>
  </si>
  <si>
    <t xml:space="preserve">Rơ le trung gian 14 chân 24VDC + đế</t>
  </si>
  <si>
    <t xml:space="preserve">Tiếp điểm: 4 C/O
Điện áp định mức: 24Vdc
Rơ le trung gian REXO có đèn chỉ thị
Dòng chịu tải 3A
Tần số đóng ngắt tối đa: 1200 lần/ giờ
Tuổi thọ cơ khí 10 triệu lần</t>
  </si>
  <si>
    <t xml:space="preserve">Rơ le trung gian + đế</t>
  </si>
  <si>
    <t xml:space="preserve">Loại  Relay trung gian
Số Chân  14 chân loại lớn, 4 cặp tiếp điểm
Chịu tải  10A
Đế  PTF14A-E
Điện áp điều khiển AC220/240</t>
  </si>
  <si>
    <t xml:space="preserve">Đế Relay</t>
  </si>
  <si>
    <t xml:space="preserve"> Dòng điện định mức  5 A
 Điện áp chân đế PYF14A  250 V
 Số chân cắm  14 chân dẹt nhỏ
 Mounting Type  DIN Rail
 Ứng dụng PYF14A  dùng cho Timer</t>
  </si>
  <si>
    <t xml:space="preserve">Relay kính trung gian Omron 14 chân MY4NJ Kèm đế 24VDC</t>
  </si>
  <si>
    <t xml:space="preserve">Điện áp hoạt động: 24VDC
 Tiếp điểm max: 250VDC/ 5A</t>
  </si>
  <si>
    <t xml:space="preserve">Rơ le bảo vệ pha Schneider PMR-440N7 340-480V</t>
  </si>
  <si>
    <t xml:space="preserve">Điện Áp Vào Định Mức 440VAC
[Ue] Điện Áp Hoạt Động Định Mức 480VAC
Điện Năng Tiêu Thụ 2W
Ngưỡng Cấp 340-480VAC
Tần Số 50/60Hz
Tiếp Điểm 1C/O
Thời Gian Khởi Động Lại 1s
Phương Pháp Hiển Thị 2 LED</t>
  </si>
  <si>
    <t xml:space="preserve">Dây điện từ Ø 0.3mm</t>
  </si>
  <si>
    <t xml:space="preserve">Kg</t>
  </si>
  <si>
    <t xml:space="preserve">Dây điện từ Ø 0.5mm</t>
  </si>
  <si>
    <t xml:space="preserve">Dây điện từ Ø 0.7mm</t>
  </si>
  <si>
    <t xml:space="preserve">Bàn quấn dây đồng</t>
  </si>
  <si>
    <t xml:space="preserve">Băng keo điện</t>
  </si>
  <si>
    <t xml:space="preserve">Nanoco</t>
  </si>
  <si>
    <t xml:space="preserve">Băng keo giấy</t>
  </si>
  <si>
    <t xml:space="preserve">Cuộn</t>
  </si>
  <si>
    <t xml:space="preserve">Thanh ray nhôm </t>
  </si>
  <si>
    <t xml:space="preserve">Máng bán nguyệt 3P </t>
  </si>
  <si>
    <t xml:space="preserve">Màu sắc: trắng
– Chất liệu: nhựa PVC</t>
  </si>
  <si>
    <t xml:space="preserve">Cây</t>
  </si>
  <si>
    <t xml:space="preserve">Tiến Phát</t>
  </si>
  <si>
    <t xml:space="preserve">Máng bán nguyệt 4P </t>
  </si>
  <si>
    <t xml:space="preserve">Máng bán nguyệt 6P </t>
  </si>
  <si>
    <t xml:space="preserve">Máng bán nguyệt 8P </t>
  </si>
  <si>
    <t xml:space="preserve">Máng nhựa PVC 60x40mm</t>
  </si>
  <si>
    <t xml:space="preserve">Chiều rộng 60mm
Chiều cao 40mm
Chiều dài 2m</t>
  </si>
  <si>
    <t xml:space="preserve">Máng điện 25x35 mm</t>
  </si>
  <si>
    <t xml:space="preserve">Chất liệu PVC
Kích thước (HxW) 35×25 mm
Khả năng chứa (tham khảo) 20~25 sợi cáp 2.0 mm2
Tiêu chuẩn RoHS, UL94 V-0
Chiều dài 2 mét/cây</t>
  </si>
  <si>
    <t xml:space="preserve">Cây </t>
  </si>
  <si>
    <t xml:space="preserve">Máng đi dây 35x35mm</t>
  </si>
  <si>
    <t xml:space="preserve">Chất liệu nhựa: PE</t>
  </si>
  <si>
    <t xml:space="preserve">Máng đi dây điện 25x45</t>
  </si>
  <si>
    <t xml:space="preserve">Dây xoắn ống (ruột mèo), </t>
  </si>
  <si>
    <t xml:space="preserve">Ống nhựa D20</t>
  </si>
  <si>
    <t xml:space="preserve">Đường kính : Ø20
Độ dày :1.55 ± 0.1
Lực nén :750N</t>
  </si>
  <si>
    <t xml:space="preserve">Hộp nhựa nút ấn 5 lỗ Ø22</t>
  </si>
  <si>
    <t xml:space="preserve">Kích thước: 250x70x65 mm (Dài x Rộng x Cao).
– Vật liệu: Nhựa.
– IP: 65.</t>
  </si>
  <si>
    <t xml:space="preserve">Hộp nhựa 110x110x80 mm</t>
  </si>
  <si>
    <t xml:space="preserve">Kích thước: 110x110x80mm</t>
  </si>
  <si>
    <t xml:space="preserve">Hộp nhựa 235x235x80mm</t>
  </si>
  <si>
    <t xml:space="preserve">Kích thước: 235x235x80mm</t>
  </si>
  <si>
    <t xml:space="preserve">Bóng đèn tròn 9W + đui đèn</t>
  </si>
  <si>
    <t xml:space="preserve">Điện áp: 220V
- Tần số: 50Hz
- Công suất: 8W
- Tuổi thọ: 6.000h</t>
  </si>
  <si>
    <t xml:space="preserve">Điện Quang</t>
  </si>
  <si>
    <t xml:space="preserve">Đèn sợi đốt</t>
  </si>
  <si>
    <t xml:space="preserve">Công suất: 25W
Đầu đèn: E27
Đường kính vỏ bóng: 50 mm</t>
  </si>
  <si>
    <t xml:space="preserve">Cái </t>
  </si>
  <si>
    <t xml:space="preserve">Rạng Đông</t>
  </si>
  <si>
    <t xml:space="preserve">Cút nối dây điện bắt vít</t>
  </si>
  <si>
    <t xml:space="preserve">Công tắc gạt 2 cực</t>
  </si>
  <si>
    <t xml:space="preserve">cần ngắn, 2 vị trí, tự giữ, 1a1b</t>
  </si>
  <si>
    <t xml:space="preserve">Công tắc gat 3 cực</t>
  </si>
  <si>
    <t xml:space="preserve">cần ngắn, 3 vị trí, tự giữ, 1a1b</t>
  </si>
  <si>
    <t xml:space="preserve">Công tắc 2 cực</t>
  </si>
  <si>
    <t xml:space="preserve">Công tắc 3 cực</t>
  </si>
  <si>
    <t xml:space="preserve">Công tắc trung gian đa chiều
Điện áp sử dụng: 220V-240V/50Hz</t>
  </si>
  <si>
    <t xml:space="preserve">Công tắc 2 cực (VANLOCK)</t>
  </si>
  <si>
    <t xml:space="preserve">220V – 10A
Màu sắc: Trắng.</t>
  </si>
  <si>
    <t xml:space="preserve">Công tắc 3 cực (VANLOCK)</t>
  </si>
  <si>
    <t xml:space="preserve">Ổ cắm Sino đôi 3 chấu</t>
  </si>
  <si>
    <t xml:space="preserve">2 Ổ cắm 3 chấu 16A-250VAC
Điện áp sử dụng: 220V-240V/50Hz</t>
  </si>
  <si>
    <t xml:space="preserve">Mặt nạ 2 công tắc + ổ cắm</t>
  </si>
  <si>
    <t xml:space="preserve">Kiểu : mặt 2 lỗ + 2 ổ gắn liền mặt
-Kích thước : 70mm x 120mm</t>
  </si>
  <si>
    <t xml:space="preserve">Đế nổi</t>
  </si>
  <si>
    <t xml:space="preserve">Kích thước: 120x70x35(mm)</t>
  </si>
  <si>
    <t xml:space="preserve">Ổ Cắm công nghiệp 1pha 16A</t>
  </si>
  <si>
    <t xml:space="preserve">Loại 1 pha 3 dây</t>
  </si>
  <si>
    <t xml:space="preserve">Ổ Cắm công nghiệp 3pha 16A</t>
  </si>
  <si>
    <t xml:space="preserve">Loại 3 pha 5 dây</t>
  </si>
  <si>
    <t xml:space="preserve">Bộ </t>
  </si>
  <si>
    <t xml:space="preserve">Ủng cao su cách điện cách điện</t>
  </si>
  <si>
    <t xml:space="preserve">Đôi</t>
  </si>
  <si>
    <t xml:space="preserve">Garan</t>
  </si>
  <si>
    <t xml:space="preserve">Đèn cây 3 màu</t>
  </si>
  <si>
    <t xml:space="preserve">Điện áp 
24VAC, 24VDC
</t>
  </si>
  <si>
    <t xml:space="preserve">Qlight</t>
  </si>
  <si>
    <t xml:space="preserve">Rulô điện công nghiệp 25m</t>
  </si>
  <si>
    <t xml:space="preserve">Rulo Điện Lioa 30M QT30-2-15A Công Suất 2200W Dây Đồng 2×1.5</t>
  </si>
  <si>
    <t xml:space="preserve">lioa</t>
  </si>
  <si>
    <t xml:space="preserve">Pin AA 1,5V</t>
  </si>
  <si>
    <t xml:space="preserve">Loại pin: Pin kiềm / Alkaline
• Hãng: Panasonic (Japan)
</t>
  </si>
  <si>
    <t xml:space="preserve">Cặp</t>
  </si>
  <si>
    <t xml:space="preserve">Pin AAA, 1.5V</t>
  </si>
  <si>
    <t xml:space="preserve">Điện áp 1.5V
Chất liệu Pin Kiềm</t>
  </si>
  <si>
    <t xml:space="preserve">ENERGIZER</t>
  </si>
  <si>
    <t xml:space="preserve">USA</t>
  </si>
  <si>
    <t xml:space="preserve">Pin AA 3300 mAh</t>
  </si>
  <si>
    <t xml:space="preserve">Loại pin: AA
Điện áp: 1.2V.  Công suất định mức: 3300mAh</t>
  </si>
  <si>
    <t xml:space="preserve">BESTON</t>
  </si>
  <si>
    <t xml:space="preserve">Pin AAA 1300 mAh</t>
  </si>
  <si>
    <t xml:space="preserve">Loại pin: AAA
Điện áp: 1.2V.  Công suất định mức: 1300mAh</t>
  </si>
  <si>
    <t xml:space="preserve">Pin Cmos</t>
  </si>
  <si>
    <t xml:space="preserve">Chất liệu : Pin Lithium cao cấp
Dung lương pin : từ 220 – 250 mAh</t>
  </si>
  <si>
    <t xml:space="preserve">Vỉ</t>
  </si>
  <si>
    <t xml:space="preserve">MAXELL</t>
  </si>
  <si>
    <t xml:space="preserve">Pin vuông 9 volt</t>
  </si>
  <si>
    <t xml:space="preserve">Biến trở tinh chỉnh</t>
  </si>
  <si>
    <t xml:space="preserve">Giá trị điện trở max
10 KOhm
Sai số
± 5%</t>
  </si>
  <si>
    <t xml:space="preserve">Board đồng 300x200mm</t>
  </si>
  <si>
    <t xml:space="preserve">Kích thước: 20 x 30cm
Độ dày: 1.5mm
Số lớp: 2 lớp
Nhiệt độ chịu tải: lên đến 140°C hoặc 285°F</t>
  </si>
  <si>
    <t xml:space="preserve">Còi báo HY-256-2</t>
  </si>
  <si>
    <t xml:space="preserve">Type: Mặt tròn
 Lắp đặt: Lắp trên cánh tủ
 Lỗ khoét: Phi 25</t>
  </si>
  <si>
    <t xml:space="preserve">Ống hút chì hàn (loại GOOT GS-100)</t>
  </si>
  <si>
    <t xml:space="preserve">Dài 250mm</t>
  </si>
  <si>
    <t xml:space="preserve">TAIYO</t>
  </si>
  <si>
    <t xml:space="preserve">Chì hàn</t>
  </si>
  <si>
    <t xml:space="preserve">ASAHI</t>
  </si>
  <si>
    <t xml:space="preserve">Thiếc hàn 0.8mm</t>
  </si>
  <si>
    <t xml:space="preserve">Nhật Minh</t>
  </si>
  <si>
    <t xml:space="preserve">Mỡ hàn thiếc</t>
  </si>
  <si>
    <t xml:space="preserve">Khối Lượng: 150g.
Màu Vàng.
Nhiệt độ nóng chảy : 60 Độ.
</t>
  </si>
  <si>
    <t xml:space="preserve">Hộp</t>
  </si>
  <si>
    <t xml:space="preserve">Bộ nguồn 24VDC DPS-30S-24</t>
  </si>
  <si>
    <t xml:space="preserve">Nguồn cấp 100…240VAC
Công suất đầu ra 30W
Điện áp đầu ra 24VDC
Dòng điện đầu ra 1.25A</t>
  </si>
  <si>
    <t xml:space="preserve">Công Tắc Điều Khiển Cửa Cuốn WiFi</t>
  </si>
  <si>
    <t xml:space="preserve">Điện Áp: 90-250V, tần số 50-60Hz
Giao Tiếp: Wifi 2.4GHz, 3G, 4G, Bluetooth.
Kích Thước: 120x72x32mm
Mặt Kính Cường Lực Cao Cấp.</t>
  </si>
  <si>
    <t xml:space="preserve">Hunonic</t>
  </si>
  <si>
    <t xml:space="preserve">Chuông cửa Camera có hình Tuya Wifi/Lan/POE</t>
  </si>
  <si>
    <t xml:space="preserve">Camera : độ phân giải 1080p
Góc quan sát : 120°
Độ nhạy sáng : 0,001Lux
Chức năng : phát hiện chuyển động
Khoảng cách tầm nhìn ban đêm : 10 mét
Chỉ số IP : IP55
Nguồn : 12-15V ( hỗ trợ nguồn điện POE )
Tốc độ truyền dữ liệu WIFI : 2.4GHZ
Phương thức kết nối : dây mạng Lan/WiFi</t>
  </si>
  <si>
    <t xml:space="preserve">TUYA</t>
  </si>
  <si>
    <t xml:space="preserve">Công tắc thông minh sw1 Wifi</t>
  </si>
  <si>
    <t xml:space="preserve">Kích thước:nbsp;120mm x 72mm x 43mm
Tải định mức:nbsp;1.000W/ gang, 5A</t>
  </si>
  <si>
    <t xml:space="preserve">Công tắc thông minh sw2 Wifi</t>
  </si>
  <si>
    <t xml:space="preserve">Kích thước: 120mm x 72mm x 43mm
Tải định mức: 1.000W/ gang
LED: 150W max/gang</t>
  </si>
  <si>
    <t xml:space="preserve">Công tắc thông minh sw3 Wifi</t>
  </si>
  <si>
    <t xml:space="preserve">Công tắc thông minh sw4 Wifi</t>
  </si>
  <si>
    <t xml:space="preserve">Ổ cắm thông minh Tuya điều khiển từ xa</t>
  </si>
  <si>
    <r>
      <rPr>
        <sz val="12"/>
        <rFont val="Times New Roman"/>
        <family val="1"/>
        <charset val="1"/>
      </rPr>
      <t xml:space="preserve">Ổ cắm thông minh</t>
    </r>
    <r>
      <rPr>
        <b val="true"/>
        <sz val="12"/>
        <rFont val="Times New Roman"/>
        <family val="1"/>
        <charset val="1"/>
      </rPr>
      <t xml:space="preserve"> </t>
    </r>
    <r>
      <rPr>
        <sz val="12"/>
        <rFont val="Times New Roman"/>
        <family val="1"/>
        <charset val="1"/>
      </rPr>
      <t xml:space="preserve">sps1 Wifi</t>
    </r>
  </si>
  <si>
    <t xml:space="preserve">Nguồn điện: 220VAC
Công suất USB: 5V, 2.1A
Dòng điện: 15A
Kết nối Wifi: 2.4Ghz
Tần số: 50Hz
MPE Smart Power Strip size: 335mm x 65mm x 40mm</t>
  </si>
  <si>
    <t xml:space="preserve">Ổ cắm đôi 3 chấu thông minh Wifi MPE (SO2/SC)</t>
  </si>
  <si>
    <t xml:space="preserve">Thiết bị đóng cắt thông minh MPE MCBS-263</t>
  </si>
  <si>
    <t xml:space="preserve">Số cực: 2P
Dòng định mức In (A): 63A
Icu (kA): 6kA
Điều khiển từ xa bằng ứng dụng MPE Smart Breaker với kết nối wifi</t>
  </si>
  <si>
    <t xml:space="preserve">Chuông cửa camera panasonic đàm thoại 2 chiều Mã SP: VL-SV71 (7’’)</t>
  </si>
  <si>
    <t xml:space="preserve">Loại màn hình Màn hình LCD có màu
Kích thước màn hình Màn hình 7 inch
Kiểu đàm thoại Loại rảnh tay
Nguồn điện 110 – 240VAC</t>
  </si>
  <si>
    <t xml:space="preserve">Cảm biến khói thông minh Wifi</t>
  </si>
  <si>
    <t xml:space="preserve">Nguồn cung cấp: Pin CR123A
Dải nhiệt độ hoạt động: (-10 - 50)°C
Dải độ ẩm hoạt động: (0 - 95)%
Kích thước (ØxC): (86x32)mm</t>
  </si>
  <si>
    <t xml:space="preserve">Biến dòng TI</t>
  </si>
  <si>
    <t xml:space="preserve">Điện áp định mức: 600VAC
Dòng điện sơ cấp: 500A
Dòng điện thứ cấp: 5A
Tỷ số biến dòng: 500/5A 
Cấp chính xác: 0.5
Dung lượng: 5VA
Số vòng dây sơ cấp: 1
Kiểu: CT0.6</t>
  </si>
  <si>
    <t xml:space="preserve">EMIC</t>
  </si>
  <si>
    <t xml:space="preserve">Dây mồi để luồn dây điện</t>
  </si>
  <si>
    <t xml:space="preserve">Dây</t>
  </si>
  <si>
    <t xml:space="preserve">Ốc siết cáp</t>
  </si>
  <si>
    <t xml:space="preserve">Chất liệu Nylon 66
Kiểu PG16
Đường kính (O.D) ﻿﻿Ø ﻿22 mm
Cáp tương thích (Ø) 10~14 mm
Màu (tùy chọn khi đặt hàng) Xám, đen
Tiêu chuẩn 94V-2</t>
  </si>
  <si>
    <t xml:space="preserve">Cút Nối Dây Điện CH2</t>
  </si>
  <si>
    <t xml:space="preserve">Cút nối dây điện KV774</t>
  </si>
  <si>
    <t xml:space="preserve">Điện áp định mức 250V/4KV
Dòng định mức 32A
Số cổng 2 đầu 3 cổng
Hỗ trợ cỡ dây Dây cứng 1 hoặc nhiều lõi(0.08-2.5mm2)
Dây mềm (0.08 – 4mm2)
Chất liệu PA66
Kích thước Dài 4cm x Rộng 1.8cm x Cao 1.5cm</t>
  </si>
  <si>
    <t xml:space="preserve">Cút nối dây điện nhanh 2 đầu KV774-P2</t>
  </si>
  <si>
    <t xml:space="preserve">Điện áp 
4kV
Dòng điện 
32A
Số cực 
2, 3, 4</t>
  </si>
  <si>
    <t xml:space="preserve">Chuông điện 220V</t>
  </si>
  <si>
    <t xml:space="preserve">Đường kính: 10cm ( 4 inch)
– Độ vang xa: 400-600m2 nhà xưởng có thể nghe được
– Lắp đặt: gắn tường, trần
– Cấp điện: 220VAC
– Màu sắc: đỏ</t>
  </si>
  <si>
    <t xml:space="preserve">ATA</t>
  </si>
  <si>
    <t xml:space="preserve">Mác ghi tên đèn báo Ø22</t>
  </si>
  <si>
    <t xml:space="preserve">Loại Nhãn tên
Sản phẩm tương thích Nút nhấn Ø22</t>
  </si>
  <si>
    <t xml:space="preserve">Nhãn dán tủ điện </t>
  </si>
  <si>
    <t xml:space="preserve">Lò xo uốn ống Ø20</t>
  </si>
  <si>
    <t xml:space="preserve">Lò xo uốn ống Ø22</t>
  </si>
  <si>
    <t xml:space="preserve">Lò xo uốn ống Ø25</t>
  </si>
  <si>
    <t xml:space="preserve">Nắp bịt lỗ tủ điện phi 22mm</t>
  </si>
  <si>
    <t xml:space="preserve">Nắp bịt lỗ tủ điện phi 25mm</t>
  </si>
  <si>
    <t xml:space="preserve">PLC Omron CP1E-E30DR-A (16 In / 14 Out Relay)</t>
  </si>
  <si>
    <t xml:space="preserve">Nguồn cấp 100-240 VAC
– Ngõ vào số: 18
– Ngõ ra relay: 12
– Max I/O : 150 I/O
– Kết nối với Module mở rộng tương tự như loại CP1L
– 2 núm xoay chỉnh giá trị analog (8 bit) trong PLC
– 6 đầu vào tốc độ cao 10kHz
– Bộ nhớ 2Kstep
– Chức năng Smart I</t>
  </si>
  <si>
    <t xml:space="preserve">PLC Mitsubishi FX3G-24MT/ES (14 In / 10 Out Transistor)</t>
  </si>
  <si>
    <t xml:space="preserve">ên sản phẩm FX3G-24MT/ES
Type FX3G
Power Supply (V) 100-240
Current Type AC
Program Memory 32K STEPS
Program Memory Unit EEPROM
Integrated Digital Inputs 14
Integrated Digital Outputs 10
Output Type TRANSISTOR
Output Logic SINK</t>
  </si>
  <si>
    <t xml:space="preserve">Mitsubishi</t>
  </si>
  <si>
    <t xml:space="preserve">Router 4G APTEK L300 (Bộ định tuyến)</t>
  </si>
  <si>
    <t xml:space="preserve">Aptek</t>
  </si>
  <si>
    <t xml:space="preserve">Thẻ nhớ MicroSD MB-MC128GA/APC</t>
  </si>
  <si>
    <t xml:space="preserve">Samsung</t>
  </si>
  <si>
    <t xml:space="preserve">Đầu đọc thẻ nhớ đa năng USB</t>
  </si>
  <si>
    <t xml:space="preserve">Ugreen</t>
  </si>
  <si>
    <t xml:space="preserve">Dây cáp mạng CAT6</t>
  </si>
  <si>
    <t xml:space="preserve">Met</t>
  </si>
  <si>
    <t xml:space="preserve">Vinacap</t>
  </si>
  <si>
    <t xml:space="preserve">Đầu bấm mạng RJ-45 Cat 6 chống nhiễu</t>
  </si>
  <si>
    <t xml:space="preserve">Bộ chia mạng 5 cổng</t>
  </si>
  <si>
    <t xml:space="preserve">TP-Link</t>
  </si>
  <si>
    <t xml:space="preserve">Nhựa In 3D màu xanh dương</t>
  </si>
  <si>
    <t xml:space="preserve">Nhựa In 3D màu đỏ</t>
  </si>
  <si>
    <t xml:space="preserve">Nhựa In 3D màu vàng</t>
  </si>
  <si>
    <t xml:space="preserve">Bộ KIT học lập trình Arduino UNO R3</t>
  </si>
  <si>
    <t xml:space="preserve">Mạch Điều Khiển Động Cơ Bước A4988</t>
  </si>
  <si>
    <t xml:space="preserve">Mạch Điều Khiển Động Cơ DC L298N</t>
  </si>
  <si>
    <t xml:space="preserve">IC chính: L298
Điện áp hoạt động: 5~30VDC
Công suất tối đa: 25W 1 cầu (lưu ý công suất = dòng điện x điện áp nên áp cấp vào càng cao, dòng càng nhỏ, công suất có định 25W).
Dòng tối đa cho mỗi cầu H là: 2A
Mức điện áp logic: Low -0.3V~1.5V, High: 2.3V~Vss
Kích thước: 43x43x27mm</t>
  </si>
  <si>
    <t xml:space="preserve">Đầu mạng RJ45 Cat.5e UTP APTEK (501-01001)</t>
  </si>
  <si>
    <t xml:space="preserve">Đầu chụp hạt mạng RJ45 loại dành cho CAT5 và CAT6 (Loại 100 cái/Bịch)</t>
  </si>
  <si>
    <t xml:space="preserve">Hộp test cáp mạng </t>
  </si>
  <si>
    <t xml:space="preserve">Bộ nguồn tổ ong omron 3A</t>
  </si>
  <si>
    <t xml:space="preserve">Nguồn cấp  100 – 240 VAC, 50/60 Hz. 1 pha
Điện áp ngõ ra  12VDC. Có thể điều chỉnh −10% đến 10% (bằng biến trở)
Dòng điện ngõ ra  3A
Công suất tiêu thụ 35W
Bảo vệ quá tải ngõ ra  Có. Tự động Reset
Bảo vệ quá áp  Bộ nguồn tự động ngắt khi điện áp ngõ ra vượt quá 115%</t>
  </si>
  <si>
    <t xml:space="preserve">Chấu mềm</t>
  </si>
  <si>
    <t xml:space="preserve">Jack nguồn 24V cho HMI Siemens</t>
  </si>
  <si>
    <t xml:space="preserve">Kích thước 9,30 x 11,20 x 2,80
Khối lượng 0,063 Kg</t>
  </si>
  <si>
    <t xml:space="preserve">Siemens</t>
  </si>
  <si>
    <t xml:space="preserve">Mực in lazer toner 337 Cartridge</t>
  </si>
  <si>
    <t xml:space="preserve">Canon</t>
  </si>
  <si>
    <t xml:space="preserve">Hộp mực in Brother TN 2385</t>
  </si>
  <si>
    <t xml:space="preserve">Brother</t>
  </si>
  <si>
    <t xml:space="preserve">Drum Brother TN 2385</t>
  </si>
  <si>
    <t xml:space="preserve">Bình mực Brother TN 2385</t>
  </si>
  <si>
    <t xml:space="preserve">Bình</t>
  </si>
  <si>
    <t xml:space="preserve">Ổ cứng King ton SSD A400 - 480GB Sata 3</t>
  </si>
  <si>
    <t xml:space="preserve">Chuẩn giao tiếp: sata III 6Gbps
Kích thước: 2.5 inch, 6.8mm
Dung lượng: 480Gb
Tốc độ đọc: 500MB/s
Tốc độ ghi: 450MB/s</t>
  </si>
  <si>
    <t xml:space="preserve">King ton</t>
  </si>
  <si>
    <t xml:space="preserve">Nhân mạng Cat5E AMP/Commscope (1375191-1)</t>
  </si>
  <si>
    <t xml:space="preserve">Tiếp điểm: Hợp kim đồng, Mạ vàng dày 1.27μm bên trên
– Khả năng tái đấu nối với cổng RJ45: ≥750 lần
– Đấu nối tiếp điểm : 200 lần
</t>
  </si>
  <si>
    <t xml:space="preserve">Hạt</t>
  </si>
  <si>
    <t xml:space="preserve">AMP/Commscope</t>
  </si>
  <si>
    <t xml:space="preserve">Dụng cụ tuốt dây mạng, thoại APTEK (Mã số:11124836)</t>
  </si>
  <si>
    <t xml:space="preserve">APTEK (Mã số:11124836)</t>
  </si>
  <si>
    <t xml:space="preserve">Kìm bấm đầu mạng UNITEK</t>
  </si>
  <si>
    <t xml:space="preserve">Chất liệu: Cán Nhựa, Lưới thép không gỉ.</t>
  </si>
  <si>
    <t xml:space="preserve">Unitek</t>
  </si>
  <si>
    <t xml:space="preserve">Hong Kong</t>
  </si>
  <si>
    <t xml:space="preserve">Bàn ren + tay quay</t>
  </si>
  <si>
    <t xml:space="preserve">Kích thước: M5 x 0.8, OD20mm</t>
  </si>
  <si>
    <t xml:space="preserve">SKC</t>
  </si>
  <si>
    <t xml:space="preserve">Kích thước: M6 x 10, OD20mm</t>
  </si>
  <si>
    <t xml:space="preserve">Kích thước: M8 x 1.25, OD25mm</t>
  </si>
  <si>
    <t xml:space="preserve">Kích thước: M10 x 1.5, OD25mm</t>
  </si>
  <si>
    <t xml:space="preserve">Kích thước: M12 x 1.75, OD25mm</t>
  </si>
  <si>
    <t xml:space="preserve">Kích thước: M16 x 2.0, OD38mm</t>
  </si>
  <si>
    <t xml:space="preserve">Tarô (3 mũi/bộ)</t>
  </si>
  <si>
    <t xml:space="preserve">Kích thước ren M4 x 0.7
</t>
  </si>
  <si>
    <t xml:space="preserve">HTD</t>
  </si>
  <si>
    <t xml:space="preserve">Kích thước ren M5 x 0.8
Đường kính khoan ren 5mm
Bước ren 0.8 mm
Tổng chiều dài mỗi mũi: 60mm
Chiều dài phần ren: 22mm
Đường kính chuôi: 5.5mm
Vật liệu chế tạo: Thép gió hợp kim HSS Tungsten
Số bước ren phay mũi thô: 8 - 10
Số bước ren phay mũi bán tinh: 3 - 5
Số bước ren phay mũi tinh: 0.5</t>
  </si>
  <si>
    <t xml:space="preserve">Kích thước ren M6 x 1,0</t>
  </si>
  <si>
    <t xml:space="preserve">Kích thước ren M8 x 1.0
Đường kính khoan ren 8mm
Bước ren 1.0 mm
Tổng chiều dài mỗi mũi: 70mm
Chiều dài phần ren: 30 mm
Đường kính chuôi: 6.2 mm
Vật liệu chế tạo: Thép gió hợp kim HSS Tungsten
Số bước ren phay mũi thô: 8 - 10
Số bước ren phay mũi bán tinh: 3 - 5
Số bước ren phay mũi tinh: 0.5</t>
  </si>
  <si>
    <t xml:space="preserve">Vật liệu chế tạo : Thép gió (HSS)
Đường kính ren : 10mm 
Bước ren: 1.25mm
Tổng chiều dài mỗi mũi: 70mm
Chiều dài phần ren: 30 mm
Đường kính chuôi: 6.2 mm
Vật liệu chế tạo: Thép gió hợp kim HSS Tungsten</t>
  </si>
  <si>
    <t xml:space="preserve">Kích thước ren M12 x 1.75
Đường kính khoan ren 12mm
Bước ren 1.75 mm
Tổng chiều dài mỗi mũi: 82mm
Chiều dài phần ren: 38 mm
Đường kính chuôi: 8.5 mm
Vật liệu chế tạo: Thép gió hợp kim HSS Tungsten
Số bước ren phay mũi thô: 8 - 10
Số bước ren phay mũi bán tinh: 3 - 5
Số bước ren phay mũi tinh: 0.5</t>
  </si>
  <si>
    <t xml:space="preserve">Cuộn dây cho máy cắt dây EDM </t>
  </si>
  <si>
    <t xml:space="preserve">Vật liệu: đồng thau CuZn37
Đường kính dây: 0.25 mm
Khối lượng: 5kg/cuộn</t>
  </si>
  <si>
    <t xml:space="preserve">TAIWAN</t>
  </si>
  <si>
    <t xml:space="preserve">ION cho máy cắt dây EDM</t>
  </si>
  <si>
    <t xml:space="preserve">Chíp dao phay mặt đầu</t>
  </si>
  <si>
    <t xml:space="preserve">Mitshubishi</t>
  </si>
  <si>
    <t xml:space="preserve">Chíp dao phay</t>
  </si>
  <si>
    <t xml:space="preserve">Chíp tiện thô ngoài </t>
  </si>
  <si>
    <t xml:space="preserve">Chíp tiện tinh ngoài</t>
  </si>
  <si>
    <t xml:space="preserve">Chíp tiện rãnh ngoài</t>
  </si>
  <si>
    <t xml:space="preserve">KOLOY</t>
  </si>
  <si>
    <t xml:space="preserve">Chíp tiện ren ngoài</t>
  </si>
  <si>
    <t xml:space="preserve">DESKAR</t>
  </si>
  <si>
    <t xml:space="preserve">Chíp tiện lỗ thô</t>
  </si>
  <si>
    <t xml:space="preserve">Chíp tiện lỗ tinh </t>
  </si>
  <si>
    <t xml:space="preserve">Chíp tiện rãnh trong</t>
  </si>
  <si>
    <t xml:space="preserve">Chíp tiện ren trong </t>
  </si>
  <si>
    <t xml:space="preserve">Chíp khoan Solid drill</t>
  </si>
  <si>
    <t xml:space="preserve">Dao phay ngón 3mm </t>
  </si>
  <si>
    <t xml:space="preserve">HONGDA</t>
  </si>
  <si>
    <t xml:space="preserve">Dao phay ngón </t>
  </si>
  <si>
    <t xml:space="preserve">Kích thước: 1 mm</t>
  </si>
  <si>
    <t xml:space="preserve">Nachi</t>
  </si>
  <si>
    <t xml:space="preserve">Kích thước: 1.5 mm</t>
  </si>
  <si>
    <t xml:space="preserve">Kích thước: 2 mm</t>
  </si>
  <si>
    <t xml:space="preserve">Kích thước: 4 mm</t>
  </si>
  <si>
    <t xml:space="preserve">Kích thước: 5 mm</t>
  </si>
  <si>
    <t xml:space="preserve">Kích thước: 6 mm</t>
  </si>
  <si>
    <t xml:space="preserve">Kích thước: 8 mm</t>
  </si>
  <si>
    <t xml:space="preserve">Kích thước: 10 mm</t>
  </si>
  <si>
    <t xml:space="preserve">Kích thước: 12 mm</t>
  </si>
  <si>
    <t xml:space="preserve">Kích thước: 14 mm</t>
  </si>
  <si>
    <t xml:space="preserve">Kích thước: 16 mm</t>
  </si>
  <si>
    <t xml:space="preserve">Kích thước: 18 mm</t>
  </si>
  <si>
    <t xml:space="preserve">Kích thước: 20 mm</t>
  </si>
  <si>
    <t xml:space="preserve">Dao phay ngón (có cung bo R0,5; bullmill)</t>
  </si>
  <si>
    <t xml:space="preserve">Handstone</t>
  </si>
  <si>
    <t xml:space="preserve">Dao cầu</t>
  </si>
  <si>
    <t xml:space="preserve">Kích thước: R0.5 đến R9
Vật liệu gia công: Nhôm, Sắt, Thép,…
Độ cứng: 55HRC
Me cắt: 2F</t>
  </si>
  <si>
    <t xml:space="preserve">VÂN TẬP</t>
  </si>
  <si>
    <t xml:space="preserve">Cán dao phay 2 mảnh cắt (insert)</t>
  </si>
  <si>
    <t xml:space="preserve">HUTSCOM</t>
  </si>
  <si>
    <t xml:space="preserve">Dao phay rãnh chữ T</t>
  </si>
  <si>
    <t xml:space="preserve">THẮNG LỢI</t>
  </si>
  <si>
    <t xml:space="preserve">Dao tiện lỗ 12</t>
  </si>
  <si>
    <t xml:space="preserve">Dao tiện ngoài 12</t>
  </si>
  <si>
    <t xml:space="preserve">Thắng Lơi</t>
  </si>
  <si>
    <t xml:space="preserve">VN</t>
  </si>
  <si>
    <t xml:space="preserve">Dao tiện rãnh ngoài 12</t>
  </si>
  <si>
    <t xml:space="preserve">Dao tiện rãnh ngoài </t>
  </si>
  <si>
    <t xml:space="preserve">Dao tiện rãnh trong</t>
  </si>
  <si>
    <t xml:space="preserve">Dao tiện tinh ngoài </t>
  </si>
  <si>
    <t xml:space="preserve">Cán dao gắn chíp tiện ngoài cán phải</t>
  </si>
  <si>
    <t xml:space="preserve">Cán dao gắn chíp tiện ngoài đầu thẳng</t>
  </si>
  <si>
    <t xml:space="preserve">Cán dao gắn chíp tiện rãnh</t>
  </si>
  <si>
    <t xml:space="preserve">Mảnh dao chíp tiện C06</t>
  </si>
  <si>
    <t xml:space="preserve">Hình dạng: Insert C sử dụng 1 mặt
- Size: 06
- Bán kính mũi dao : R0.4</t>
  </si>
  <si>
    <t xml:space="preserve">Mảnh dao chíp tiện S09 R0.4</t>
  </si>
  <si>
    <t xml:space="preserve">Tiện góc 45 độ
- Dùng lắp mảnh chíp SCMT09T304, SCMT120404</t>
  </si>
  <si>
    <t xml:space="preserve">Mảnh dao chíp tiện rãnh</t>
  </si>
  <si>
    <t xml:space="preserve">Dao khắc kim loại CNC</t>
  </si>
  <si>
    <t xml:space="preserve">SHARP-TOOLS</t>
  </si>
  <si>
    <t xml:space="preserve">Dao gọt bavia</t>
  </si>
  <si>
    <t xml:space="preserve">Bộ dao cạo ba via Noga NG8150 Phần cán bằng nhựa composite ko có sắt
- Bao gồm: 
  + Cán NG-1: 1pcs
  + Lưỡi S10: 10pcs
- Dùng cho: Thép - Nhôm - Nhựa</t>
  </si>
  <si>
    <t xml:space="preserve">NOGA</t>
  </si>
  <si>
    <t xml:space="preserve">ISRAEL</t>
  </si>
  <si>
    <t xml:space="preserve">Dũa dẹt thô </t>
  </si>
  <si>
    <t xml:space="preserve">Dũa dẹt tinh</t>
  </si>
  <si>
    <t xml:space="preserve">Dũa tròn </t>
  </si>
  <si>
    <t xml:space="preserve">Dưỡng đo cung tròn </t>
  </si>
  <si>
    <t xml:space="preserve">Model 186-106
Xuất xứ Nhật Bản
Phạm vị đo 7.5 - 15 mm
Độ chính xác ±0.04 mm
32 lá thước 7.5 - 15 mm bước 0.5 mm
Kiểu dưỡng Cung tròn 180⁰</t>
  </si>
  <si>
    <t xml:space="preserve">Mitutoyo</t>
  </si>
  <si>
    <t xml:space="preserve">Đinh rút (Rivet)</t>
  </si>
  <si>
    <t xml:space="preserve">Kích thước: 4x10mm
Thiết kế: Phần chui mở</t>
  </si>
  <si>
    <t xml:space="preserve">Giấy nhám tinh </t>
  </si>
  <si>
    <t xml:space="preserve">P1000</t>
  </si>
  <si>
    <t xml:space="preserve">     Tờ</t>
  </si>
  <si>
    <t xml:space="preserve">kovax</t>
  </si>
  <si>
    <t xml:space="preserve">Ke vuông </t>
  </si>
  <si>
    <t xml:space="preserve">STHT46530-8</t>
  </si>
  <si>
    <t xml:space="preserve">Standley</t>
  </si>
  <si>
    <t xml:space="preserve">Kéo cắt tôn</t>
  </si>
  <si>
    <t xml:space="preserve">Chất liệuThép, Tay cầm (Nhựa cao cấp)
Chiều dài máyKéo 10 inch (25cm)</t>
  </si>
  <si>
    <t xml:space="preserve">Tolsen</t>
  </si>
  <si>
    <t xml:space="preserve">Kính bảo hộ</t>
  </si>
  <si>
    <t xml:space="preserve">G650</t>
  </si>
  <si>
    <t xml:space="preserve">Kìm hàn</t>
  </si>
  <si>
    <t xml:space="preserve">Hãng sản xuất Tolsen
Model 44935
Chất liệu Sắt trên, Đồng thau dưới Kẹp bằng sợi thủy tinh
Công suất Amp 500A
Điện cực thông qua 3/32 "" - 1/4 "" (2,5mm-6,35mm)
Chiều dài 250mm
Bao gồm 2 phím hex</t>
  </si>
  <si>
    <t xml:space="preserve">Kìm rút Rivet </t>
  </si>
  <si>
    <t xml:space="preserve">Kích thước 330mm</t>
  </si>
  <si>
    <t xml:space="preserve">Irwin</t>
  </si>
  <si>
    <t xml:space="preserve">Khung cưa sắt</t>
  </si>
  <si>
    <t xml:space="preserve">Kích thước: 300 mm
Chất liệu: hợp kim thép</t>
  </si>
  <si>
    <t xml:space="preserve">Lưỡi cưa sắt</t>
  </si>
  <si>
    <t xml:space="preserve">Kích thước: 12"/300mm
- Chất liệu: Thép hợp kim cứng, không gỉ, sắc bén</t>
  </si>
  <si>
    <t xml:space="preserve">Lưỡi cưa vòng</t>
  </si>
  <si>
    <t xml:space="preserve">NACHI</t>
  </si>
  <si>
    <t xml:space="preserve">Bàn chải sắt </t>
  </si>
  <si>
    <t xml:space="preserve">Mũi doa </t>
  </si>
  <si>
    <t xml:space="preserve">Mũi khoan </t>
  </si>
  <si>
    <t xml:space="preserve">Kích thước: 3.3 mm
Vật liệu gia công: Sắt, thép &lt;30HRC, Gang, Đồng,…</t>
  </si>
  <si>
    <t xml:space="preserve">Kích thước: 3.4 mm</t>
  </si>
  <si>
    <t xml:space="preserve">Kích thước: 3.5 mm</t>
  </si>
  <si>
    <t xml:space="preserve">Kích thước: 4.1mm</t>
  </si>
  <si>
    <t xml:space="preserve">Kích thước: 4.5 mm</t>
  </si>
  <si>
    <t xml:space="preserve">Kích thước: 5.5 mm</t>
  </si>
  <si>
    <t xml:space="preserve">Kích thước: 6.4 mm</t>
  </si>
  <si>
    <t xml:space="preserve">Kích thước: 6.5 mm</t>
  </si>
  <si>
    <t xml:space="preserve">Kích thước: 6.8 mm</t>
  </si>
  <si>
    <t xml:space="preserve">Kích thước: 7 mm</t>
  </si>
  <si>
    <t xml:space="preserve">Kích thước: 7.8 mm</t>
  </si>
  <si>
    <t xml:space="preserve">Kích thước: 8.5 mm</t>
  </si>
  <si>
    <t xml:space="preserve">Kích thước: 9 mm</t>
  </si>
  <si>
    <t xml:space="preserve">Kích thước: 9.8 mm</t>
  </si>
  <si>
    <t xml:space="preserve">Kích thước: 10.5 mm</t>
  </si>
  <si>
    <t xml:space="preserve">Kích thước: 11 mm</t>
  </si>
  <si>
    <t xml:space="preserve">Kích thước: 11.8 mm</t>
  </si>
  <si>
    <t xml:space="preserve">Kích thước: 11.5 mm</t>
  </si>
  <si>
    <t xml:space="preserve">Kích thước: 13 mm</t>
  </si>
  <si>
    <t xml:space="preserve">Kích thước: 15 mm</t>
  </si>
  <si>
    <t xml:space="preserve">Kích thước: 25 mm</t>
  </si>
  <si>
    <t xml:space="preserve">Mũi khoan tâm NC</t>
  </si>
  <si>
    <t xml:space="preserve">HANDSTON</t>
  </si>
  <si>
    <t xml:space="preserve">Mũi khoan tâm</t>
  </si>
  <si>
    <r>
      <rPr>
        <sz val="10.5"/>
        <rFont val="Times New Roman"/>
        <family val="1"/>
        <charset val="1"/>
      </rPr>
      <t xml:space="preserve">Kích thước: 2.5 X 60</t>
    </r>
    <r>
      <rPr>
        <sz val="10.5"/>
        <rFont val="Noto Sans CJK SC"/>
        <family val="2"/>
        <charset val="1"/>
      </rPr>
      <t xml:space="preserve">ﾟ</t>
    </r>
    <r>
      <rPr>
        <sz val="10.5"/>
        <rFont val="Times New Roman"/>
        <family val="1"/>
        <charset val="1"/>
      </rPr>
      <t xml:space="preserve">X 7.7</t>
    </r>
  </si>
  <si>
    <t xml:space="preserve">YAMAWA</t>
  </si>
  <si>
    <t xml:space="preserve">Mũi khoét bậc</t>
  </si>
  <si>
    <t xml:space="preserve">MKHB</t>
  </si>
  <si>
    <t xml:space="preserve">Nhựa PE phi 25</t>
  </si>
  <si>
    <t xml:space="preserve">Kích thước chiều dài: 1000mm
Màu sắc: Ghi, Trắng đục
Chịu hóa chất: Axit, Hóa chất Xeton, Khí gas, Kiềm
Chịu nhiệt: 130 độ C
Đặc tính: Chịu mài mòn, Nhựa cứng, Thực phẩm</t>
  </si>
  <si>
    <t xml:space="preserve">Nhựa PE phi 40</t>
  </si>
  <si>
    <t xml:space="preserve">Nhựa tấm PE </t>
  </si>
  <si>
    <t xml:space="preserve">Tấm</t>
  </si>
  <si>
    <t xml:space="preserve">Nhôm tấm</t>
  </si>
  <si>
    <t xml:space="preserve">Nhôm tròn đặc</t>
  </si>
  <si>
    <t xml:space="preserve">Thanh ren </t>
  </si>
  <si>
    <t xml:space="preserve">Thép ống đen</t>
  </si>
  <si>
    <t xml:space="preserve">Thép ống mạ Ø27</t>
  </si>
  <si>
    <t xml:space="preserve">Thép ống mạ Φ 27</t>
  </si>
  <si>
    <t xml:space="preserve">Thép hộp mạ vuông 30</t>
  </si>
  <si>
    <t xml:space="preserve">Thép tấm trơn</t>
  </si>
  <si>
    <t xml:space="preserve">Tôn mạ kẽm </t>
  </si>
  <si>
    <r>
      <rPr>
        <sz val="12"/>
        <rFont val="Times New Roman"/>
        <family val="1"/>
        <charset val="1"/>
      </rPr>
      <t xml:space="preserve">m</t>
    </r>
    <r>
      <rPr>
        <vertAlign val="superscript"/>
        <sz val="12"/>
        <rFont val="Times New Roman"/>
        <family val="1"/>
        <charset val="1"/>
      </rPr>
      <t xml:space="preserve">2</t>
    </r>
  </si>
  <si>
    <t xml:space="preserve">HÒA PHÁT</t>
  </si>
  <si>
    <t xml:space="preserve">Thép định hình</t>
  </si>
  <si>
    <t xml:space="preserve">Thép Láp tròn</t>
  </si>
  <si>
    <t xml:space="preserve">Brand: PTTOOLS 
Soft Jaw 
Set 3pcs chấu cặp mềm 8 inches, bước ren P1.5
Vật liệu: S50C cao cấp 
Made in Vietnam - Export to Japan Market
Kích thước: 95 x 38 x 35 mm (Dài x Cao x Rộng)</t>
  </si>
  <si>
    <t xml:space="preserve">PHU THAI</t>
  </si>
  <si>
    <t xml:space="preserve">Bộ lục giác</t>
  </si>
  <si>
    <t xml:space="preserve">Thương hiệu: Total
Model THT106292
Kích thước: 1.5-10mm
Trọng lượng: 0.5kg
Xuất xứ: Trung Quốc</t>
  </si>
  <si>
    <t xml:space="preserve">TOTAL</t>
  </si>
  <si>
    <t xml:space="preserve">CHINA</t>
  </si>
  <si>
    <t xml:space="preserve">Bộ cần siết lực 1/2" và 3/4"</t>
  </si>
  <si>
    <t xml:space="preserve">Cần xiết chữ L 1/2"x12" Toptul AFAN1612</t>
  </si>
  <si>
    <t xml:space="preserve">TOPTUL</t>
  </si>
  <si>
    <t xml:space="preserve">Cờ lê cân lực: Dải đo lực 17-85 Nm, Hiển thị số</t>
  </si>
  <si>
    <t xml:space="preserve">KINGTOOL</t>
  </si>
  <si>
    <t xml:space="preserve">Bộ cờ lê </t>
  </si>
  <si>
    <t xml:space="preserve">Bộ cờ lê vòng miệng 14 chi tiết Stanley STMT80944 8-32mm
</t>
  </si>
  <si>
    <t xml:space="preserve">Bộ cờ lê 6-24</t>
  </si>
  <si>
    <t xml:space="preserve">Size: 6-24mm (6mm, 8mm, 10mm, 11mm12mm, 13mm, 14mm, 15mm, 17mm, 19mm, 22mm, 24mm)
Trọng lượng: 1.2kg</t>
  </si>
  <si>
    <t xml:space="preserve">Bộ khẩu SP424</t>
  </si>
  <si>
    <t xml:space="preserve">8 đầu típ 1/2": 10, 11, 12, 13, 14, 15, 16, 17, 18, 19, 20, 21, 22, 23, 24, 27, 30, 32mm
- 1 đầu mở bugi
- 1 cần lắc léo 1/2"
- 1 cần chữ T 1/2"
- 1 cần siết tự động
- 2 đầu nối 1/2" dài 5" và 10"</t>
  </si>
  <si>
    <t xml:space="preserve">Bộ tuýp 1/4" 45 chi tiết Total THT141451, 4-14mm</t>
  </si>
  <si>
    <t xml:space="preserve">Kích thước: 244 x 118 x 37mm
Trọng lượng: 3kg</t>
  </si>
  <si>
    <t xml:space="preserve">Bộ tay vặn đa năng toptul GADW4501</t>
  </si>
  <si>
    <t xml:space="preserve">Bộ Tuýp 1/4" INCH Với 46 dụng cụ, Mở ốc từ 4-14mm; Mở vít 2 cạnh, 4 cạnh, 6 cạnh các loại ; Cờ lê đảo chiều, tay cầm tô vít, tay nối dài, dây nối dài giúp làm việc ở các góc hẹp</t>
  </si>
  <si>
    <t xml:space="preserve">Mỏ lết 300mm</t>
  </si>
  <si>
    <t xml:space="preserve">Kích cỡ: dài 12 inch/300mm
Mô-men xoắn thêm 25%
Chất liệu: thép hợp kim cứng
Chống gỉ sét, khó gãy, cong, có độ bền cực đại</t>
  </si>
  <si>
    <t xml:space="preserve">Kìm bấm cos</t>
  </si>
  <si>
    <t xml:space="preserve">Model: CT-8 (CT-10)
JIS: 1.25, 2.0, 5.5, 8mm2
DIN: 1.5, 2.5, 6, 10mm2
Chiều dài: 260mm
Trọng lượng: 470g</t>
  </si>
  <si>
    <t xml:space="preserve">TAICHENG</t>
  </si>
  <si>
    <t xml:space="preserve">Kìm bấm đầu cốt lục giác HSC8 6-6A tự điều chỉnh</t>
  </si>
  <si>
    <t xml:space="preserve">Model: HSC8 6-6A</t>
  </si>
  <si>
    <t xml:space="preserve">VIVIMAX</t>
  </si>
  <si>
    <t xml:space="preserve">Kìm bấm cos vuông HSC8 6-4B</t>
  </si>
  <si>
    <t xml:space="preserve">Phạm vi bấm: 0,25-10mm²
- Đối với dây trần hình ống và dây cách điện AWG: 23-7
- Chiều dài: 6  inch
Thiết diện dây điện 0.25-10 mm² hay 23-10 AWG theo tiêu chuẩn Mỹ</t>
  </si>
  <si>
    <t xml:space="preserve">Kìm cắt cách điện </t>
  </si>
  <si>
    <t xml:space="preserve">Kìm được gia công chính xác, tuối thọ dài.
Tiêu chuẩn: IEC-60900, DIN/ISO-5749
Cách điện 1000V
Kích thước: 150mm/6"</t>
  </si>
  <si>
    <t xml:space="preserve">VATA</t>
  </si>
  <si>
    <t xml:space="preserve">Kìm điện cách điện </t>
  </si>
  <si>
    <t xml:space="preserve">Quy cách: 6" (150mm)
Trọng lượng: 0.294kg</t>
  </si>
  <si>
    <t xml:space="preserve">Kìm tuốt dây diện </t>
  </si>
  <si>
    <t xml:space="preserve">Tuốt dây: 10AWG ~ 24AWG (0,2 ~ 6mm²) 
- Chức năng cắt: dây đồng và nhôm
- Chức năng uốn (bấm cos): uốn các thiết bị đầu cuối cách điện 0,5-6mm² (10-22 AWG);
- Uốn các thiết bị đầu cuối không cách điện: 0,5-6mm² (4-22 AWG);
- Uốn các thiết bị đầu cuối đánh lửa: 7-8mm² </t>
  </si>
  <si>
    <t xml:space="preserve">Kìm mỏ quạ 250mm</t>
  </si>
  <si>
    <t xml:space="preserve">Kích thước: 250 mm</t>
  </si>
  <si>
    <t xml:space="preserve">Bộ kìm bấm chết</t>
  </si>
  <si>
    <t xml:space="preserve">bộ </t>
  </si>
  <si>
    <t xml:space="preserve">Bộ 7 kìm hiệu Total: </t>
  </si>
  <si>
    <t xml:space="preserve">Tuốc nơ vít 10 cây (loại xoay cộng lực và đóng được) gồm bake và dẹt</t>
  </si>
  <si>
    <t xml:space="preserve">Bộ tuốc nơ vít dẹp và bake 10 chi tiết Total THT250610</t>
  </si>
  <si>
    <t xml:space="preserve">Tuốt nơ vít dẹp Sata 63402 (3x75mm)</t>
  </si>
  <si>
    <t xml:space="preserve">Kích thước: 3x75mm</t>
  </si>
  <si>
    <t xml:space="preserve">SATA</t>
  </si>
  <si>
    <t xml:space="preserve">Tua vít ba ke 6x100mm</t>
  </si>
  <si>
    <t xml:space="preserve">Chất liệu: Cán nhựa, thân kim loại
Loại đầu vít: Bake (Philips), có nam châm
kích thước mũi vít: 6mm
Chiều dài thân vít: 100mm
Trọng lượng: 150g</t>
  </si>
  <si>
    <t xml:space="preserve">GOODMAN</t>
  </si>
  <si>
    <t xml:space="preserve">Tuốt nơ vít </t>
  </si>
  <si>
    <t xml:space="preserve">KINGTONY</t>
  </si>
  <si>
    <t xml:space="preserve">Bộ Tua vit 4 cạnh 2 đầu nam châm </t>
  </si>
  <si>
    <t xml:space="preserve">YATO</t>
  </si>
  <si>
    <t xml:space="preserve">BA LAN</t>
  </si>
  <si>
    <t xml:space="preserve">Búa cao su</t>
  </si>
  <si>
    <t xml:space="preserve">Kích thước: dài 35cm.
Trọng lượng: 450g.</t>
  </si>
  <si>
    <t xml:space="preserve">Búa lùn SP012</t>
  </si>
  <si>
    <t xml:space="preserve">Trọng lượng : 0.25kg
- Tổng chiều dài: 160mm
- Đường kính mặt : 26mm
- Độ dài phần đầu : 105mm
+ Khối lượng 250g</t>
  </si>
  <si>
    <t xml:space="preserve">DELI</t>
  </si>
  <si>
    <t xml:space="preserve">Máy cắt kim loại Bosch GCO 220 (0601B373K0)</t>
  </si>
  <si>
    <t xml:space="preserve">Công suất đầu vào định mức 2.200 W
Tốc độ không tải 3,800v/p
Trọng lượng không có cáp 15 kg
Kích thướcmáy 400/520mm
Đường kính đĩa cắt 355 mm
Độ dày đĩa cắt 3mm</t>
  </si>
  <si>
    <t xml:space="preserve">Bosch</t>
  </si>
  <si>
    <t xml:space="preserve">Máy khoan điện (sắt+bê tông)</t>
  </si>
  <si>
    <t xml:space="preserve">Mô-men xoắn (các công việc vặn vít mềm): 0,0 / 1676,0 Nm
Đầu vào công suất định mức: 600 W
Tốc độ không tải: 0 - 2600 vòng/phút
Mô-men xoắn định mức: 20,0 Nm
Trọng lượng không tính cáp: 1,7 kg</t>
  </si>
  <si>
    <t xml:space="preserve">Máy khoan mini cầm tay</t>
  </si>
  <si>
    <t xml:space="preserve"> Model: P500-1
- Tốc độ vòng quay: 12000r/min
- Điện áp: AC220V/DC12V
- Công suất định mức: 12V1A
- Kích thước 40x160mm
- Trọng lượng : 130g</t>
  </si>
  <si>
    <t xml:space="preserve">Máy khoan vặn vít dùng pin Bosch GSB 180-LI (06019F83K1)</t>
  </si>
  <si>
    <t xml:space="preserve">Pin Li-Ion: 18V, 1.5 A
Sản xuất tại Malaysia
Khoan 3 chức năng: vặn vít, gỗ (sắt), tường.
 Đầu cặp: 13 mm
Đường kính khoan gỗ/sắt/tường: 35/10/8 mm
Đường kính bắt vít: 10 mm
Tốc độ không tải tối đa (cao/thấp): 450/1700 v/p
Trọng lượng tính cả pin: 1.7 kg</t>
  </si>
  <si>
    <t xml:space="preserve">Malaysia</t>
  </si>
  <si>
    <t xml:space="preserve">Máy mài cầm tay Makita Ø150</t>
  </si>
  <si>
    <t xml:space="preserve">Chiều dài dây điện: 2.5m
Khả năng mài tối đa (đường kính) Đá mài: 150mm (6”) - Đá cắt: 150mm (6”) - Chén cước: 90mm
Trọng lượng: 2.7-3.1kg</t>
  </si>
  <si>
    <t xml:space="preserve">Makita</t>
  </si>
  <si>
    <t xml:space="preserve">Máy mài cầm tay Makita Ø100</t>
  </si>
  <si>
    <t xml:space="preserve">Tốc độ không tải: 11,000
Hãng sản xuất Makita
Trọng lượng tịnh: 1.7kg (3.7lbs)
Kích thước: 258 x 118 x 97mm (10-1/8" x 4-5/8" x 3-13/16")
Công suất: 710W
Dây dẫn điện: 2.5m (8.2ft)</t>
  </si>
  <si>
    <t xml:space="preserve">Máy mài cầm tay</t>
  </si>
  <si>
    <t xml:space="preserve">Thương hiệu Tolsen
Dung lượng 1/4 "", 6 mm
Áp suất không khí hoạt động 6.2ebar (90PSI)
Tiêu thụ không khí 127L / phút
Cửa hút gió 1/4 "
Ống khí: 3/8 "
Tốc độ miễn phí 22000 vòng / phút
Trọng lượng tịnh 0,6KGS</t>
  </si>
  <si>
    <t xml:space="preserve">Chổi than máy mài cầm tay 125</t>
  </si>
  <si>
    <t xml:space="preserve">Mã hàng: 1619P11715
Sử dụng cho các dòng máy: GWS 6-100 S, GWS 750-100, GWS 900-100, GWS 900-100S, GWS 900-100S, GWS 9-125, GWS 9-100P</t>
  </si>
  <si>
    <t xml:space="preserve">Mỏ cắt Oxy-Gas </t>
  </si>
  <si>
    <t xml:space="preserve">Thước lá 300mm</t>
  </si>
  <si>
    <t xml:space="preserve">30cm Thước lá Shinwa 13013</t>
  </si>
  <si>
    <t xml:space="preserve">Shinwa</t>
  </si>
  <si>
    <t xml:space="preserve">Thước kéo </t>
  </si>
  <si>
    <t xml:space="preserve">Hãng sản xuất Stanley
Vành đai 3 clip móc rivet, làm giảm nguy cơ vỡ - 40%
Cấp chính xác Class II
Chiều dài 5m
Lưỡi chiều rộng 19mm</t>
  </si>
  <si>
    <t xml:space="preserve">Thước eke</t>
  </si>
  <si>
    <t xml:space="preserve">Kích thước (DxR): 300x170mm
Độ vuông góc
Bên trong (α): 0.5mm
 Bên ngoài (β): 0.5mm
Độ phân giải: 1mm
Chất liệu: thước đo thép không gỉ, đế nhôm</t>
  </si>
  <si>
    <t xml:space="preserve">Insize</t>
  </si>
  <si>
    <t xml:space="preserve">Mũi khoét Φ20, Φ22, Φ25 mm (5 cái/loại)</t>
  </si>
  <si>
    <t xml:space="preserve">Mũi khoan bậc (Mã SP109)</t>
  </si>
  <si>
    <t xml:space="preserve">6-35mm TOTAL TAC8263501</t>
  </si>
  <si>
    <t xml:space="preserve">Đồng hồ VOM điện tử</t>
  </si>
  <si>
    <t xml:space="preserve">Điện áp DC: 1000V ±(0.7%+3)
Điện áp AC: 1000V ±(1%+3)
Dòng điện DC: 10A ±(1%+3)
Dòng điện AC: 10A ±(1.2%+5)
Điện trở (Ω): 40MΩ ±(0.8%+2)
Điện dung (F): 40mF ±(3%+5)
Tần số (Hz): 400Hz đến 40mHz ±(0.1%+4)
Nhiệt độ: -40 đến 1000℃ ±(1%+4)</t>
  </si>
  <si>
    <t xml:space="preserve">UNI-T</t>
  </si>
  <si>
    <t xml:space="preserve">Đồng hồ VOM điện tử</t>
  </si>
  <si>
    <t xml:space="preserve">DCV: 50m/500m/5/50/500/1000V
ACV: 50m/500m/5/50/500/1000V
 DCA: 500µ/5000µ/50m/500m/5/10A
 ACA: 500µ/5000µ/50m/500m/5/10A
Điện trở: 50/500/5k/50k/500k/5M/50MΩ
 Điện dung: 50n/500n/5µ/50µ/500µ/9999µF
 Nhiệt độ: -500C~10000C
 Tần số: 10Hz~125kHz
 Cầu chì: Ø6.3x32mm (500V/12.5A), Ø6.3x32mm (500V/0.63A)
 Pin: 6LF22x1
 Kích thước: 179x87x55mm
 Cân nặng: 460g</t>
  </si>
  <si>
    <t xml:space="preserve">SANWA</t>
  </si>
  <si>
    <t xml:space="preserve">Đồng hồ Ampe kìm 3280-10F</t>
  </si>
  <si>
    <t xml:space="preserve">ACA: 42.00 A / 420,0 A / 1000 A (± 1,5% RDG. ± 5 .)
AC V: 4.200 V đến 600 V, 4 dãy (± 1,8% rdg. dgt ± 7). Từ 50-60 Hz:
DC V 420,0 mV đến 600 V, 5 dãy (± 1,0% rdg. dgt ± 3).Từ 45 Hz đến 500 Hz
Đường kính kìm đo φ33 mm (1.30 "),
Điện trở: 420,0 Ω đến 42,00 MΩ, 6 dãy (± 2,0% rdg. dgt ± 4).</t>
  </si>
  <si>
    <t xml:space="preserve">HIOKI</t>
  </si>
  <si>
    <t xml:space="preserve">Đồng hồ đo dòng điện MA202</t>
  </si>
  <si>
    <t xml:space="preserve">Đồng hồ đo Dòng điện AC gián tiếp qua CT
– Hiển thị 4 số, dạng LED 7 đoạn 363,000
– Cài đặt hệ số CT: 5 – 4000A
– Dải hiển thị: 0 – 4960A
– Mạng kết nối: 1 pha 2 dây 393,000
– Nguồn cấp: AC: 240V AC ±20%, (50 / 60Hz)</t>
  </si>
  <si>
    <t xml:space="preserve">SELEC</t>
  </si>
  <si>
    <t xml:space="preserve">ẤN ĐỘ</t>
  </si>
  <si>
    <t xml:space="preserve">Đồng hồ đo dòng điện MA205</t>
  </si>
  <si>
    <t xml:space="preserve">Đồng hồ đo Điện áp
– Hiển thị 3 số, dạng LED 7 đoạn
– Dải hiển thị: 0 – 516V
– Mạng kết nối: 1 pha 2 dây
– Nguồn cấp: AC: 240V AC ±20%, (50 / 60Hz)</t>
  </si>
  <si>
    <t xml:space="preserve">Đồng hồ VOM kim</t>
  </si>
  <si>
    <t xml:space="preserve">Kích thước:160 x 129 x 41 mm
DC V:0.1/0.25/2.5/10/50/250/1000 V
AC V:10/50/250/750
DC A:50u/2.5m/25m/0.25A
Trở kháng:2k/20k/200k/2MΩ/200MΩ</t>
  </si>
  <si>
    <t xml:space="preserve">Bộ đồng hồ so </t>
  </si>
  <si>
    <t xml:space="preserve">1044A Nhà sản xuất Mitutoyo
Xuất xứ Nhật Bản
Phạm vị đo: 5mm
Độ chia: 0,01mm
Độ chính xác: ± 13µm
Đường kính mặt đồng hồ: 41mm</t>
  </si>
  <si>
    <t xml:space="preserve">Bộ thước panme đo ngoài 150mm-230mm</t>
  </si>
  <si>
    <t xml:space="preserve">Panme đo ngoài Mitutoyo 103-145-10 (200-225mm)</t>
  </si>
  <si>
    <t xml:space="preserve">Thước cặp cơ </t>
  </si>
  <si>
    <t xml:space="preserve">Loại thước kẹp: Thước kẹp cơ khí
Khoảng đo: 0-150mm
Độ chia: 0.05mm
Độ chính xác: ± 0.05mm</t>
  </si>
  <si>
    <t xml:space="preserve">Dải đo: 0-150mm/ 0-6″
Độ phân giải: 0.02mm /0.001″
Độ chính xác: ±0.03mm
Hệ đơn vị: mét /inch</t>
  </si>
  <si>
    <t xml:space="preserve">Thước cặp điện tử</t>
  </si>
  <si>
    <t xml:space="preserve">Loại thước cặp: Thước kẹp điện tử
Phạm vi đo: 0-150mm
Độ chia: 0.01mm
Độ chính xác: ±0.02mm</t>
  </si>
  <si>
    <t xml:space="preserve">Thước cuộn cơ</t>
  </si>
  <si>
    <t xml:space="preserve">Mũi đột tâm</t>
  </si>
  <si>
    <t xml:space="preserve">Mũi vạch dấu</t>
  </si>
  <si>
    <t xml:space="preserve">Nivo thanh </t>
  </si>
  <si>
    <t xml:space="preserve">24" Thước thuỷ Stanley STHT42074-8
Chiều dài 600mm</t>
  </si>
  <si>
    <t xml:space="preserve">Bép ra dây 1.0mm</t>
  </si>
  <si>
    <t xml:space="preserve">Quy cách: M6 x 1.0mm x 45
Chất liệu: Đồng, cạnh lục giác</t>
  </si>
  <si>
    <t xml:space="preserve">Bép ra dây 1.2mm</t>
  </si>
  <si>
    <t xml:space="preserve">Chụp khí đầu mỏ hàn MAG</t>
  </si>
  <si>
    <t xml:space="preserve">Chuôi mỏ hàn TIG</t>
  </si>
  <si>
    <t xml:space="preserve">Kẹp kim hàn TIG</t>
  </si>
  <si>
    <t xml:space="preserve">Kim hàn TIG sắt </t>
  </si>
  <si>
    <t xml:space="preserve">WT-20 2.4x175mm</t>
  </si>
  <si>
    <t xml:space="preserve">JASIC</t>
  </si>
  <si>
    <t xml:space="preserve">Chụp sứ</t>
  </si>
  <si>
    <t xml:space="preserve">Đá mài dao </t>
  </si>
  <si>
    <t xml:space="preserve">Đường Kính Ngoài:
200 mm
Bề Dày:
25 mm
Sử Dụng Cho:
Thép, Gang, Sắt, Inox...
Đường Kính Trục:
32 mm</t>
  </si>
  <si>
    <t xml:space="preserve">Viên</t>
  </si>
  <si>
    <t xml:space="preserve">HẢI DƯƠNG</t>
  </si>
  <si>
    <t xml:space="preserve">Đá cắt Ø 100 x 2</t>
  </si>
  <si>
    <t xml:space="preserve">Thương hiệu: Hải Dương
Xuất xứ thương hiệu: Việt Nam
Sản xuất: Việt Nam</t>
  </si>
  <si>
    <t xml:space="preserve">Đá cắt Ø 125 x 2</t>
  </si>
  <si>
    <t xml:space="preserve">Đá cắt Ø 150</t>
  </si>
  <si>
    <t xml:space="preserve">Đá mài Ø 100x7</t>
  </si>
  <si>
    <t xml:space="preserve">Đá mài Ø 125 x 7</t>
  </si>
  <si>
    <t xml:space="preserve">Đá mài Ø 150</t>
  </si>
  <si>
    <t xml:space="preserve">Đá cắt Ø350</t>
  </si>
  <si>
    <t xml:space="preserve">Que hàn </t>
  </si>
  <si>
    <t xml:space="preserve">Tiêu chuẩn Việt Nam TCVN: 3223-2000-E432R.
Quy chuẩn Việt Nam: QCVN 21:2015/BGTVT-MW2
Tiêu chuẩn Mỹ: ASME/AWS E 6013
Tiêu chuẩn Nhật:  JIS  D4313
Đăng kiểm NK: KMW2</t>
  </si>
  <si>
    <t xml:space="preserve">KIM TÍN</t>
  </si>
  <si>
    <t xml:space="preserve">Que hàn</t>
  </si>
  <si>
    <t xml:space="preserve">Que hàn TIG</t>
  </si>
  <si>
    <t xml:space="preserve">KISWEL</t>
  </si>
  <si>
    <t xml:space="preserve">Dây hàn MAG </t>
  </si>
  <si>
    <t xml:space="preserve">Đường kính (mm) Ø 1.0
Dòng điện hàn (A) 100~140
Điện thế hàn (V) 22~24
Lượng khí lít/phút 10 – 11
Trọng lượng tịnh hộp (Kg) 15 Kg</t>
  </si>
  <si>
    <t xml:space="preserve">Dây hàn MAG</t>
  </si>
  <si>
    <t xml:space="preserve">Đường kính (mm) Ø1.2
Dòng điện hàn (A) 110~200
Điện thế hàn (V) 23~25
Lượng khí lít/phút 12 – 13
Trọng lượng tịnh thùng (Kg) 8 Kg</t>
  </si>
  <si>
    <t xml:space="preserve">Dây hàn FCAW</t>
  </si>
  <si>
    <t xml:space="preserve">Đường kính dây Ø1.2
Trọng lượng 15kg/ Thùng</t>
  </si>
  <si>
    <t xml:space="preserve">Khí Argon</t>
  </si>
  <si>
    <t xml:space="preserve">Chai</t>
  </si>
  <si>
    <t xml:space="preserve">Khí CO2</t>
  </si>
  <si>
    <t xml:space="preserve">Khí ôxy</t>
  </si>
  <si>
    <t xml:space="preserve">Gas công nghiệp</t>
  </si>
  <si>
    <t xml:space="preserve">PETROLIMEX</t>
  </si>
  <si>
    <t xml:space="preserve">Bulong đầu lục giác </t>
  </si>
  <si>
    <t xml:space="preserve">Vít M6 + Đai ốc M6</t>
  </si>
  <si>
    <t xml:space="preserve">Đai ốc</t>
  </si>
  <si>
    <t xml:space="preserve">Kích thước ren M10
Rộng 16.73 - 17 mm
Độ dày 7.64 - 8 mm
Bước ren 1/1.25/1.5 mm
Vật liệu Thép Carbon</t>
  </si>
  <si>
    <t xml:space="preserve">C</t>
  </si>
  <si>
    <t xml:space="preserve">Pin đo dao và đo phôi</t>
  </si>
  <si>
    <t xml:space="preserve">Kiểu pin: Pin lithium nuôi nguồn cho PLC, CNC, TMPS
Thương hiệu: SAFT
Model: LS 14250
Điện áp: 3.6V
Dung lượng: 1200 mAh
Size: 1/2AA
Kích thước: đường kính 14.65mm, chiều cao 24.80mm
Trọng lượng: 8g</t>
  </si>
  <si>
    <t xml:space="preserve">SAFT</t>
  </si>
  <si>
    <t xml:space="preserve">PHÁP</t>
  </si>
  <si>
    <t xml:space="preserve">Phấn đá</t>
  </si>
  <si>
    <t xml:space="preserve">Cọ quét sơn</t>
  </si>
  <si>
    <t xml:space="preserve">Bao tay hàn chịu nhiệt</t>
  </si>
  <si>
    <t xml:space="preserve">Bình sơn xịt</t>
  </si>
  <si>
    <t xml:space="preserve">Hộp 10 bóng đèn ô tô xe hơi (trắng, vàng) đuôi cài hai tóc 12v/10w</t>
  </si>
  <si>
    <t xml:space="preserve">Hôp</t>
  </si>
  <si>
    <t xml:space="preserve">Công cụ kiểm tra mạch điện ô tô 6-24v công cụ thăm dò đèn kiểm tra</t>
  </si>
  <si>
    <t xml:space="preserve">Môtơ gạt nước xe vios 2010</t>
  </si>
  <si>
    <t xml:space="preserve">Vòng ép xéc măng</t>
  </si>
  <si>
    <t xml:space="preserve">Bộ cúp ben phanh bánh xe</t>
  </si>
  <si>
    <t xml:space="preserve">Bộ cúp ben phanh tổng phanh</t>
  </si>
  <si>
    <t xml:space="preserve">IC đánh lửa hãng Toyota, </t>
  </si>
  <si>
    <t xml:space="preserve">Bobin đánh lửa hãng Toyota</t>
  </si>
  <si>
    <t xml:space="preserve">Bộ khay inox đựng chi tiết hiệu KTC TYKPT</t>
  </si>
  <si>
    <t xml:space="preserve">Mô tơ bơm xăng cao áp </t>
  </si>
  <si>
    <t xml:space="preserve">Dây điện ô tô (1kg/1loại)</t>
  </si>
  <si>
    <t xml:space="preserve">kg</t>
  </si>
  <si>
    <t xml:space="preserve">Cụm delco đánh lửa bằng vít lửa xe</t>
  </si>
  <si>
    <t xml:space="preserve">Bugi Toyota,</t>
  </si>
  <si>
    <t xml:space="preserve">Kim phun xăng toyota xe </t>
  </si>
  <si>
    <t xml:space="preserve">Củ đề (khởi động) động cơ </t>
  </si>
  <si>
    <t xml:space="preserve">Ống đồng 6mm; 8mm (25 m/loại)</t>
  </si>
  <si>
    <t xml:space="preserve">Ống cao su thủy lực 6mm, 8mm (20 m/loại)</t>
  </si>
  <si>
    <t xml:space="preserve">Bột xoáy xúp páp, cốt máy</t>
  </si>
  <si>
    <t xml:space="preserve">Hộp </t>
  </si>
  <si>
    <t xml:space="preserve">Bình ắc quy nước ĐN </t>
  </si>
  <si>
    <t xml:space="preserve">Hộp đựng đồ nghề 2 ngăn 18" hiệu Asaki AK-9956</t>
  </si>
  <si>
    <t xml:space="preserve">Kìm tháo xéc măng</t>
  </si>
  <si>
    <t xml:space="preserve">Cảo supap </t>
  </si>
  <si>
    <t xml:space="preserve">cái </t>
  </si>
  <si>
    <t xml:space="preserve">Bộ dụng cụ uốn ống đồng</t>
  </si>
  <si>
    <t xml:space="preserve">Bộ kìm bấm cos ống dầu thủy lực</t>
  </si>
  <si>
    <t xml:space="preserve">Thiết bị kiểm tra dầu thắng</t>
  </si>
  <si>
    <t xml:space="preserve">Bộ dụng cụ thay, xả gió dầu phanh</t>
  </si>
  <si>
    <t xml:space="preserve">Cưa thép cầm tay </t>
  </si>
  <si>
    <t xml:space="preserve">Dũa thép cầm tay dẹp </t>
  </si>
  <si>
    <t xml:space="preserve">Bộ cảo puly trục khuỷu</t>
  </si>
  <si>
    <t xml:space="preserve">Bộ dụng cụ cạo sủi gioăng bề mặt động cơ</t>
  </si>
  <si>
    <t xml:space="preserve">Bộ đo áp suất buồng đốt động cơ</t>
  </si>
  <si>
    <t xml:space="preserve">Bộ cảo mở lọc nhớt, lọc xăng, lọc dầu</t>
  </si>
  <si>
    <t xml:space="preserve">Bộ dụng cụ tháo lắp xúp páp</t>
  </si>
  <si>
    <t xml:space="preserve">Búa cao su đen cán nhựa 440g</t>
  </si>
  <si>
    <t xml:space="preserve">Búa lục giác </t>
  </si>
  <si>
    <t xml:space="preserve">Thước căn lá dải đo 0.05 - 3 mm</t>
  </si>
  <si>
    <t xml:space="preserve">Giấy nhám (loại P150, P180, P200, P220) (50 tờ/loại)</t>
  </si>
  <si>
    <t xml:space="preserve">Tờ </t>
  </si>
  <si>
    <t xml:space="preserve">Bình xịt RP7</t>
  </si>
  <si>
    <t xml:space="preserve">Chai vệ sinh phanh và tang bua phanh</t>
  </si>
  <si>
    <t xml:space="preserve">Bình tra nhớt</t>
  </si>
  <si>
    <t xml:space="preserve">Dầu bôi trơn đa năng </t>
  </si>
  <si>
    <t xml:space="preserve">Dầu tưới nguội</t>
  </si>
  <si>
    <t xml:space="preserve">Lít</t>
  </si>
  <si>
    <t xml:space="preserve">Giẻ lau</t>
  </si>
  <si>
    <t xml:space="preserve">Chổi đót </t>
  </si>
  <si>
    <t xml:space="preserve">Chổi cọng dừa </t>
  </si>
  <si>
    <t xml:space="preserve">Xà bông</t>
  </si>
  <si>
    <t xml:space="preserve">Bộ lau sàn nhà</t>
  </si>
  <si>
    <t xml:space="preserve">Mỡ bò</t>
  </si>
  <si>
    <t xml:space="preserve">Mở bò chịu nhiệt (0,5kg/hộp)</t>
  </si>
  <si>
    <t xml:space="preserve">Nước làm mát động cơ</t>
  </si>
  <si>
    <t xml:space="preserve">Dầu trợ lực lái</t>
  </si>
  <si>
    <t xml:space="preserve">Dầu thắng DOT 4</t>
  </si>
  <si>
    <t xml:space="preserve">Dầu diesel</t>
  </si>
  <si>
    <t xml:space="preserve">Xăng A95</t>
  </si>
  <si>
    <t xml:space="preserve">Nhớt máy</t>
  </si>
  <si>
    <t xml:space="preserve">Lít </t>
  </si>
  <si>
    <t xml:space="preserve">Nhớt</t>
  </si>
</sst>
</file>

<file path=xl/styles.xml><?xml version="1.0" encoding="utf-8"?>
<styleSheet xmlns="http://schemas.openxmlformats.org/spreadsheetml/2006/main">
  <numFmts count="7">
    <numFmt numFmtId="164" formatCode="General"/>
    <numFmt numFmtId="165" formatCode="_-* #,##0.00_-;\-* #,##0.00_-;_-* \-??_-;_-@_-"/>
    <numFmt numFmtId="166" formatCode="_-* #,##0_-;\-* #,##0_-;_-* \-??_-;_-@_-"/>
    <numFmt numFmtId="167" formatCode="#,##0"/>
    <numFmt numFmtId="168" formatCode="@"/>
    <numFmt numFmtId="169" formatCode="_(* #,##0_);_(* \(#,##0\);_(* \-_);_(@_)"/>
    <numFmt numFmtId="170" formatCode="0%"/>
  </numFmts>
  <fonts count="20">
    <font>
      <sz val="10"/>
      <color rgb="FF000000"/>
      <name val="Arial"/>
      <family val="0"/>
      <charset val="134"/>
    </font>
    <font>
      <sz val="10"/>
      <name val="Arial"/>
      <family val="0"/>
    </font>
    <font>
      <sz val="10"/>
      <name val="Arial"/>
      <family val="0"/>
    </font>
    <font>
      <sz val="10"/>
      <name val="Arial"/>
      <family val="0"/>
    </font>
    <font>
      <sz val="11"/>
      <name val="VNI-Avo"/>
      <family val="0"/>
      <charset val="134"/>
    </font>
    <font>
      <sz val="12"/>
      <name val="Times New Roman"/>
      <family val="1"/>
      <charset val="1"/>
    </font>
    <font>
      <sz val="10"/>
      <color rgb="FF000000"/>
      <name val="Arial"/>
      <family val="2"/>
      <charset val="1"/>
    </font>
    <font>
      <sz val="10"/>
      <name val="Arial"/>
      <family val="2"/>
      <charset val="1"/>
    </font>
    <font>
      <b val="true"/>
      <sz val="12"/>
      <name val="Times New Roman"/>
      <family val="1"/>
      <charset val="1"/>
    </font>
    <font>
      <sz val="10"/>
      <color rgb="FF0000FF"/>
      <name val="Arial"/>
      <family val="2"/>
      <charset val="1"/>
    </font>
    <font>
      <u val="single"/>
      <sz val="10"/>
      <color theme="10"/>
      <name val="Arial"/>
      <family val="2"/>
      <charset val="1"/>
    </font>
    <font>
      <sz val="10.5"/>
      <name val="Arial"/>
      <family val="0"/>
      <charset val="134"/>
    </font>
    <font>
      <sz val="10.5"/>
      <name val="Times New Roman"/>
      <family val="1"/>
      <charset val="1"/>
    </font>
    <font>
      <sz val="11"/>
      <name val="Times New Roman"/>
      <family val="1"/>
      <charset val="1"/>
    </font>
    <font>
      <sz val="10.5"/>
      <name val="Noto Sans CJK SC"/>
      <family val="2"/>
      <charset val="1"/>
    </font>
    <font>
      <sz val="12"/>
      <color theme="1"/>
      <name val="Times New Roman"/>
      <family val="1"/>
      <charset val="1"/>
    </font>
    <font>
      <vertAlign val="superscript"/>
      <sz val="12"/>
      <name val="Times New Roman"/>
      <family val="1"/>
      <charset val="1"/>
    </font>
    <font>
      <sz val="12"/>
      <name val="Arial"/>
      <family val="2"/>
      <charset val="1"/>
    </font>
    <font>
      <i val="true"/>
      <sz val="12"/>
      <name val="Times New Roman"/>
      <family val="1"/>
      <charset val="1"/>
    </font>
    <font>
      <sz val="10"/>
      <name val="Times New Roman"/>
      <family val="1"/>
      <charset val="1"/>
    </font>
  </fonts>
  <fills count="4">
    <fill>
      <patternFill patternType="none"/>
    </fill>
    <fill>
      <patternFill patternType="gray125"/>
    </fill>
    <fill>
      <patternFill patternType="solid">
        <fgColor theme="0"/>
        <bgColor rgb="FFFFFFCC"/>
      </patternFill>
    </fill>
    <fill>
      <patternFill patternType="solid">
        <fgColor rgb="FFFFFF00"/>
        <bgColor rgb="FFFFFF00"/>
      </patternFill>
    </fill>
  </fills>
  <borders count="4">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top style="thin"/>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6" fontId="5" fillId="0" borderId="0" xfId="15" applyFont="true" applyBorder="true" applyAlignment="true" applyProtection="true">
      <alignment horizontal="center" vertical="center" textRotation="0" wrapText="true" indent="0" shrinkToFit="false"/>
      <protection locked="true" hidden="false"/>
    </xf>
    <xf numFmtId="167" fontId="5" fillId="0" borderId="0" xfId="0" applyFont="true" applyBorder="fals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8" fontId="8" fillId="2" borderId="2" xfId="26" applyFont="true" applyBorder="true" applyAlignment="true" applyProtection="true">
      <alignment horizontal="left" vertical="center" textRotation="0" wrapText="true" indent="0" shrinkToFit="false"/>
      <protection locked="true" hidden="false"/>
    </xf>
    <xf numFmtId="166" fontId="8" fillId="0" borderId="1" xfId="15" applyFont="true" applyBorder="true" applyAlignment="true" applyProtection="true">
      <alignment horizontal="center" vertical="center" textRotation="0" wrapText="true" indent="0" shrinkToFit="false"/>
      <protection locked="true" hidden="false"/>
    </xf>
    <xf numFmtId="166" fontId="8" fillId="0" borderId="3" xfId="15" applyFont="true" applyBorder="true" applyAlignment="true" applyProtection="true">
      <alignment horizontal="center" vertical="center" textRotation="0" wrapText="true" indent="0" shrinkToFit="false"/>
      <protection locked="true" hidden="false"/>
    </xf>
    <xf numFmtId="167" fontId="8" fillId="0" borderId="3"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left" vertical="center" textRotation="0" wrapText="true" indent="0" shrinkToFit="false"/>
      <protection locked="true" hidden="false"/>
    </xf>
    <xf numFmtId="166" fontId="5" fillId="0" borderId="2" xfId="15" applyFont="true" applyBorder="true" applyAlignment="true" applyProtection="true">
      <alignment horizontal="center" vertical="center" textRotation="0" wrapText="true" indent="0" shrinkToFit="false"/>
      <protection locked="true" hidden="false"/>
    </xf>
    <xf numFmtId="167" fontId="5" fillId="0" borderId="2" xfId="0" applyFont="true" applyBorder="true" applyAlignment="true" applyProtection="true">
      <alignment horizontal="center" vertical="center" textRotation="0" wrapText="true" indent="0" shrinkToFit="false"/>
      <protection locked="true" hidden="false"/>
    </xf>
    <xf numFmtId="166" fontId="5" fillId="0" borderId="0" xfId="0" applyFont="true" applyBorder="false" applyAlignment="true" applyProtection="true">
      <alignment horizontal="general" vertical="center" textRotation="0" wrapText="tru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center" textRotation="0" wrapText="true" indent="0" shrinkToFit="false"/>
      <protection locked="true" hidden="false"/>
    </xf>
    <xf numFmtId="166" fontId="5" fillId="0" borderId="2" xfId="15"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2" xfId="25" applyFont="true" applyBorder="true" applyAlignment="true" applyProtection="true">
      <alignment horizontal="left" vertical="center" textRotation="0" wrapText="false" indent="0" shrinkToFit="false"/>
      <protection locked="true" hidden="false"/>
    </xf>
    <xf numFmtId="164" fontId="5" fillId="0" borderId="2" xfId="0" applyFont="true" applyBorder="true" applyAlignment="true" applyProtection="true">
      <alignment horizontal="center" vertical="center" textRotation="0" wrapText="false" indent="0" shrinkToFit="false"/>
      <protection locked="true" hidden="false"/>
    </xf>
    <xf numFmtId="164" fontId="5" fillId="0" borderId="2" xfId="0" applyFont="true" applyBorder="true" applyAlignment="true" applyProtection="true">
      <alignment horizontal="left" vertical="top" textRotation="0" wrapText="true" indent="0" shrinkToFit="false"/>
      <protection locked="true" hidden="false"/>
    </xf>
    <xf numFmtId="164" fontId="9" fillId="0" borderId="2" xfId="20" applyFont="true" applyBorder="true" applyAlignment="true" applyProtection="true">
      <alignment horizontal="center" vertical="bottom" textRotation="0" wrapText="false" indent="0" shrinkToFit="false"/>
      <protection locked="true" hidden="false"/>
    </xf>
    <xf numFmtId="164" fontId="5" fillId="0" borderId="2" xfId="23" applyFont="true" applyBorder="true" applyAlignment="true" applyProtection="true">
      <alignment horizontal="center" vertical="center" textRotation="0" wrapText="false" indent="0" shrinkToFit="false"/>
      <protection locked="true" hidden="false"/>
    </xf>
    <xf numFmtId="164" fontId="5" fillId="0" borderId="2" xfId="0" applyFont="true" applyBorder="true" applyAlignment="true" applyProtection="true">
      <alignment horizontal="left" vertical="center" textRotation="0" wrapText="false" indent="0" shrinkToFit="false"/>
      <protection locked="true" hidden="false"/>
    </xf>
    <xf numFmtId="164" fontId="5" fillId="0" borderId="2" xfId="0" applyFont="true" applyBorder="true" applyAlignment="true" applyProtection="true">
      <alignment horizontal="general" vertical="center" textRotation="0" wrapText="false" indent="0" shrinkToFit="false"/>
      <protection locked="true" hidden="false"/>
    </xf>
    <xf numFmtId="164" fontId="5" fillId="0" borderId="2" xfId="25" applyFont="true" applyBorder="true" applyAlignment="true" applyProtection="true">
      <alignment horizontal="center" vertical="center" textRotation="0" wrapText="false" indent="0" shrinkToFit="false"/>
      <protection locked="true" hidden="false"/>
    </xf>
    <xf numFmtId="164" fontId="5" fillId="0" borderId="2" xfId="0" applyFont="true" applyBorder="true" applyAlignment="true" applyProtection="true">
      <alignment horizontal="justify" vertical="center" textRotation="0" wrapText="false" indent="0" shrinkToFit="false"/>
      <protection locked="true" hidden="false"/>
    </xf>
    <xf numFmtId="164" fontId="5" fillId="0" borderId="2" xfId="0" applyFont="true" applyBorder="true" applyAlignment="true" applyProtection="true">
      <alignment horizontal="justify" vertical="center" textRotation="0" wrapText="true" indent="0" shrinkToFit="false"/>
      <protection locked="true" hidden="false"/>
    </xf>
    <xf numFmtId="164" fontId="5" fillId="0" borderId="2" xfId="25" applyFont="true" applyBorder="true" applyAlignment="true" applyProtection="true">
      <alignment horizontal="general" vertical="center" textRotation="0" wrapText="tru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64" fontId="5" fillId="3" borderId="2"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left" vertical="center" textRotation="0" wrapText="true" indent="0" shrinkToFit="false"/>
      <protection locked="true" hidden="false"/>
    </xf>
    <xf numFmtId="164" fontId="5" fillId="3" borderId="2" xfId="0" applyFont="true" applyBorder="true" applyAlignment="true" applyProtection="true">
      <alignment horizontal="general" vertical="center" textRotation="0" wrapText="true" indent="0" shrinkToFit="false"/>
      <protection locked="true" hidden="false"/>
    </xf>
    <xf numFmtId="166" fontId="5" fillId="3" borderId="2" xfId="15" applyFont="true" applyBorder="true" applyAlignment="true" applyProtection="true">
      <alignment horizontal="center" vertical="center" textRotation="0" wrapText="true" indent="0" shrinkToFit="false"/>
      <protection locked="true" hidden="false"/>
    </xf>
    <xf numFmtId="167" fontId="5" fillId="3" borderId="2"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general" vertical="bottom" textRotation="0" wrapText="false" indent="0" shrinkToFit="false"/>
      <protection locked="true" hidden="false"/>
    </xf>
    <xf numFmtId="164" fontId="13" fillId="0" borderId="2" xfId="0" applyFont="true" applyBorder="true" applyAlignment="true" applyProtection="true">
      <alignment horizontal="center" vertical="bottom" textRotation="0" wrapText="false" indent="0" shrinkToFit="false"/>
      <protection locked="true" hidden="false"/>
    </xf>
    <xf numFmtId="164" fontId="13" fillId="0" borderId="2" xfId="23" applyFont="true" applyBorder="true" applyAlignment="true" applyProtection="true">
      <alignment horizontal="general" vertical="center" textRotation="0" wrapText="false" indent="0" shrinkToFit="false"/>
      <protection locked="true" hidden="false"/>
    </xf>
    <xf numFmtId="164" fontId="13" fillId="0" borderId="2" xfId="0" applyFont="true" applyBorder="true" applyAlignment="true" applyProtection="true">
      <alignment horizontal="center" vertical="center" textRotation="0" wrapText="false" indent="0" shrinkToFit="false"/>
      <protection locked="true" hidden="false"/>
    </xf>
    <xf numFmtId="166" fontId="13" fillId="0" borderId="2" xfId="15" applyFont="true" applyBorder="true" applyAlignment="true" applyProtection="true">
      <alignment horizontal="center" vertical="center" textRotation="0" wrapText="true" indent="0" shrinkToFit="false"/>
      <protection locked="true" hidden="false"/>
    </xf>
    <xf numFmtId="166" fontId="5" fillId="0" borderId="0" xfId="15" applyFont="true" applyBorder="true" applyAlignment="true" applyProtection="true">
      <alignment horizontal="general" vertical="center" textRotation="0" wrapText="true" indent="0" shrinkToFit="false"/>
      <protection locked="true" hidden="false"/>
    </xf>
    <xf numFmtId="164" fontId="15" fillId="3" borderId="2" xfId="0" applyFont="true" applyBorder="true" applyAlignment="true" applyProtection="true">
      <alignment horizontal="left" vertical="center" textRotation="0" wrapText="true" indent="0" shrinkToFit="false"/>
      <protection locked="true" hidden="false"/>
    </xf>
    <xf numFmtId="164" fontId="15" fillId="3" borderId="2" xfId="0" applyFont="true" applyBorder="true" applyAlignment="true" applyProtection="true">
      <alignment horizontal="center" vertical="center" textRotation="0" wrapText="true" indent="0" shrinkToFit="false"/>
      <protection locked="true" hidden="false"/>
    </xf>
    <xf numFmtId="166" fontId="15" fillId="3" borderId="2" xfId="15" applyFont="true" applyBorder="true" applyAlignment="true" applyProtection="true">
      <alignment horizontal="center" vertical="center" textRotation="0" wrapText="true" indent="0" shrinkToFit="false"/>
      <protection locked="true" hidden="false"/>
    </xf>
    <xf numFmtId="166" fontId="15" fillId="3" borderId="2" xfId="15" applyFont="true" applyBorder="true" applyAlignment="true" applyProtection="true">
      <alignment horizontal="center" vertical="center" textRotation="0" wrapText="false" indent="0" shrinkToFit="false"/>
      <protection locked="true" hidden="false"/>
    </xf>
    <xf numFmtId="167" fontId="15" fillId="3" borderId="2" xfId="0" applyFont="true" applyBorder="true" applyAlignment="true" applyProtection="true">
      <alignment horizontal="center" vertical="center" textRotation="0" wrapText="true" indent="0" shrinkToFit="false"/>
      <protection locked="true" hidden="false"/>
    </xf>
    <xf numFmtId="164" fontId="13" fillId="0" borderId="2" xfId="0" applyFont="true" applyBorder="true" applyAlignment="true" applyProtection="true">
      <alignment horizontal="general" vertical="center" textRotation="0" wrapText="false" indent="0" shrinkToFit="false"/>
      <protection locked="true" hidden="false"/>
    </xf>
    <xf numFmtId="164" fontId="13" fillId="0" borderId="2" xfId="0" applyFont="true" applyBorder="true" applyAlignment="true" applyProtection="true">
      <alignment horizontal="left" vertical="center" textRotation="0" wrapText="true" indent="0" shrinkToFit="false"/>
      <protection locked="true" hidden="false"/>
    </xf>
    <xf numFmtId="166" fontId="5" fillId="0" borderId="2" xfId="0" applyFont="true" applyBorder="true" applyAlignment="true" applyProtection="true">
      <alignment horizontal="left" vertical="center" textRotation="0" wrapText="true" indent="0" shrinkToFit="false"/>
      <protection locked="true" hidden="false"/>
    </xf>
    <xf numFmtId="164" fontId="5" fillId="0" borderId="2" xfId="0" applyFont="true" applyBorder="true" applyAlignment="true" applyProtection="true">
      <alignment horizontal="general" vertical="bottom" textRotation="0" wrapText="true" indent="0" shrinkToFit="false"/>
      <protection locked="true" hidden="false"/>
    </xf>
    <xf numFmtId="164" fontId="13" fillId="0" borderId="2" xfId="23" applyFont="true" applyBorder="true" applyAlignment="true" applyProtection="true">
      <alignment horizontal="left" vertical="center" textRotation="0" wrapText="true" indent="0" shrinkToFit="false"/>
      <protection locked="true" hidden="false"/>
    </xf>
    <xf numFmtId="164" fontId="13" fillId="0" borderId="2" xfId="23" applyFont="true" applyBorder="true" applyAlignment="true" applyProtection="true">
      <alignment horizontal="center" vertical="center" textRotation="0" wrapText="false" indent="0" shrinkToFit="false"/>
      <protection locked="true" hidden="false"/>
    </xf>
    <xf numFmtId="164" fontId="13" fillId="0" borderId="2" xfId="0" applyFont="true" applyBorder="true" applyAlignment="true" applyProtection="true">
      <alignment horizontal="left" vertical="center" textRotation="0" wrapText="false" indent="0" shrinkToFit="false"/>
      <protection locked="true" hidden="false"/>
    </xf>
    <xf numFmtId="164" fontId="13" fillId="0" borderId="2" xfId="23" applyFont="true" applyBorder="true" applyAlignment="true" applyProtection="true">
      <alignment horizontal="left"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8" fontId="5" fillId="0" borderId="2" xfId="0" applyFont="true" applyBorder="true" applyAlignment="true" applyProtection="true">
      <alignment horizontal="left" vertical="top" textRotation="0" wrapText="true" indent="0" shrinkToFit="false"/>
      <protection locked="true" hidden="false"/>
    </xf>
    <xf numFmtId="166" fontId="18" fillId="0" borderId="2" xfId="15" applyFont="true" applyBorder="true" applyAlignment="true" applyProtection="true">
      <alignment horizontal="center" vertical="center" textRotation="0" wrapText="false" indent="0" shrinkToFit="false"/>
      <protection locked="true" hidden="false"/>
    </xf>
    <xf numFmtId="168" fontId="5" fillId="0" borderId="2" xfId="0" applyFont="true" applyBorder="true" applyAlignment="true" applyProtection="true">
      <alignment horizontal="general" vertical="center" textRotation="0" wrapText="true" indent="0" shrinkToFit="false"/>
      <protection locked="true" hidden="false"/>
    </xf>
    <xf numFmtId="169" fontId="5" fillId="0" borderId="2" xfId="0" applyFont="true" applyBorder="true" applyAlignment="true" applyProtection="true">
      <alignment horizontal="center" vertical="center" textRotation="0" wrapText="false" indent="0" shrinkToFit="false"/>
      <protection locked="true" hidden="false"/>
    </xf>
    <xf numFmtId="169" fontId="19" fillId="0" borderId="2" xfId="0" applyFont="true" applyBorder="true" applyAlignment="true" applyProtection="true">
      <alignment horizontal="center" vertical="center" textRotation="0" wrapText="false" indent="0" shrinkToFit="false"/>
      <protection locked="true" hidden="false"/>
    </xf>
    <xf numFmtId="167" fontId="13" fillId="0" borderId="2" xfId="0" applyFont="true" applyBorder="true" applyAlignment="true" applyProtection="true">
      <alignment horizontal="center" vertical="center" textRotation="0" wrapText="false" indent="0" shrinkToFit="false"/>
      <protection locked="true" hidden="false"/>
    </xf>
    <xf numFmtId="167" fontId="8" fillId="0" borderId="2" xfId="0" applyFont="true" applyBorder="true" applyAlignment="true" applyProtection="true">
      <alignment horizontal="center" vertical="center" textRotation="0" wrapText="true" indent="0" shrinkToFit="false"/>
      <protection locked="true" hidden="false"/>
    </xf>
    <xf numFmtId="170" fontId="5" fillId="0" borderId="0" xfId="0" applyFont="true" applyBorder="false" applyAlignment="true" applyProtection="true">
      <alignment horizontal="center" vertical="center"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ma 3" xfId="21"/>
    <cellStyle name="Comma 4" xfId="22"/>
    <cellStyle name="Normal 2" xfId="23"/>
    <cellStyle name="Normal 2 4 9" xfId="24"/>
    <cellStyle name="Normal 4" xfId="25"/>
    <cellStyle name="Normal 4 2" xfId="26"/>
    <cellStyle name="*unknown*" xfId="20" builtin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vnecco.com/sungho" TargetMode="External"/><Relationship Id="rId2" Type="http://schemas.openxmlformats.org/officeDocument/2006/relationships/hyperlink" Target="https://vnecco.com/sungh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1"/>
    </sheetView>
  </sheetViews>
  <sheetFormatPr defaultColWidth="12.71484375" defaultRowHeight="15.75" customHeight="true" zeroHeight="false" outlineLevelRow="0" outlineLevelCol="0"/>
  <cols>
    <col collapsed="false" customWidth="true" hidden="false" outlineLevel="0" max="1" min="1" style="1" width="4.57"/>
    <col collapsed="false" customWidth="true" hidden="false" outlineLevel="0" max="2" min="2" style="2" width="46.42"/>
    <col collapsed="false" customWidth="true" hidden="false" outlineLevel="0" max="3" min="3" style="3" width="32.55"/>
    <col collapsed="false" customWidth="true" hidden="false" outlineLevel="0" max="4" min="4" style="2" width="8.86"/>
    <col collapsed="false" customWidth="true" hidden="false" outlineLevel="0" max="5" min="5" style="4" width="10.85"/>
    <col collapsed="false" customWidth="true" hidden="false" outlineLevel="0" max="6" min="6" style="4" width="14.57"/>
    <col collapsed="false" customWidth="true" hidden="false" outlineLevel="0" max="7" min="7" style="4" width="10.85"/>
    <col collapsed="false" customWidth="true" hidden="false" outlineLevel="0" max="8" min="8" style="4" width="14"/>
    <col collapsed="false" customWidth="true" hidden="false" outlineLevel="0" max="9" min="9" style="5" width="18.71"/>
    <col collapsed="false" customWidth="true" hidden="false" outlineLevel="0" max="10" min="10" style="5" width="20.42"/>
    <col collapsed="false" customWidth="false" hidden="false" outlineLevel="0" max="11" min="11" style="2" width="12.71"/>
    <col collapsed="false" customWidth="false" hidden="false" outlineLevel="0" max="16383" min="13" style="2" width="12.71"/>
    <col collapsed="false" customWidth="true" hidden="false" outlineLevel="0" max="16384" min="16384" style="2" width="11.53"/>
  </cols>
  <sheetData>
    <row r="1" customFormat="false" ht="29.85" hidden="false" customHeight="true" outlineLevel="0" collapsed="false">
      <c r="A1" s="6" t="s">
        <v>0</v>
      </c>
      <c r="B1" s="6" t="s">
        <v>1</v>
      </c>
      <c r="C1" s="7" t="s">
        <v>2</v>
      </c>
      <c r="D1" s="6" t="s">
        <v>3</v>
      </c>
      <c r="E1" s="8" t="s">
        <v>4</v>
      </c>
      <c r="F1" s="9" t="s">
        <v>5</v>
      </c>
      <c r="G1" s="9" t="s">
        <v>6</v>
      </c>
      <c r="H1" s="9" t="s">
        <v>7</v>
      </c>
      <c r="I1" s="9" t="s">
        <v>8</v>
      </c>
      <c r="J1" s="10" t="s">
        <v>9</v>
      </c>
    </row>
    <row r="2" customFormat="false" ht="90.25" hidden="false" customHeight="false" outlineLevel="0" collapsed="false">
      <c r="A2" s="11" t="n">
        <v>1</v>
      </c>
      <c r="B2" s="12" t="s">
        <v>10</v>
      </c>
      <c r="C2" s="12" t="s">
        <v>11</v>
      </c>
      <c r="D2" s="11" t="s">
        <v>12</v>
      </c>
      <c r="E2" s="13" t="n">
        <v>300</v>
      </c>
      <c r="F2" s="13" t="s">
        <v>13</v>
      </c>
      <c r="G2" s="13" t="s">
        <v>14</v>
      </c>
      <c r="H2" s="13" t="n">
        <v>5000</v>
      </c>
      <c r="I2" s="14" t="n">
        <v>4000</v>
      </c>
      <c r="J2" s="14" t="n">
        <f aca="false">E2*I2</f>
        <v>1200000</v>
      </c>
      <c r="K2" s="15" t="n">
        <f aca="false">H2*80%</f>
        <v>4000</v>
      </c>
    </row>
    <row r="3" customFormat="false" ht="90.25" hidden="false" customHeight="false" outlineLevel="0" collapsed="false">
      <c r="A3" s="11" t="n">
        <v>2</v>
      </c>
      <c r="B3" s="12" t="s">
        <v>10</v>
      </c>
      <c r="C3" s="12" t="s">
        <v>11</v>
      </c>
      <c r="D3" s="11" t="s">
        <v>12</v>
      </c>
      <c r="E3" s="13" t="n">
        <v>300</v>
      </c>
      <c r="F3" s="13" t="s">
        <v>13</v>
      </c>
      <c r="G3" s="13" t="s">
        <v>14</v>
      </c>
      <c r="H3" s="13" t="n">
        <v>5000</v>
      </c>
      <c r="I3" s="14" t="n">
        <v>4000</v>
      </c>
      <c r="J3" s="14" t="n">
        <f aca="false">E3*I3</f>
        <v>1200000</v>
      </c>
      <c r="K3" s="15" t="n">
        <f aca="false">H3*80%</f>
        <v>4000</v>
      </c>
    </row>
    <row r="4" customFormat="false" ht="18.75" hidden="false" customHeight="true" outlineLevel="0" collapsed="false">
      <c r="A4" s="11" t="n">
        <v>3</v>
      </c>
      <c r="B4" s="12" t="s">
        <v>15</v>
      </c>
      <c r="C4" s="16" t="s">
        <v>16</v>
      </c>
      <c r="D4" s="11" t="s">
        <v>12</v>
      </c>
      <c r="E4" s="13" t="n">
        <v>1600</v>
      </c>
      <c r="F4" s="13" t="s">
        <v>13</v>
      </c>
      <c r="G4" s="13" t="s">
        <v>14</v>
      </c>
      <c r="H4" s="13" t="n">
        <v>6000</v>
      </c>
      <c r="I4" s="14" t="n">
        <v>4200</v>
      </c>
      <c r="J4" s="14" t="n">
        <f aca="false">E4*I4</f>
        <v>6720000</v>
      </c>
      <c r="K4" s="15" t="n">
        <f aca="false">H4*80%</f>
        <v>4800</v>
      </c>
    </row>
    <row r="5" customFormat="false" ht="15.75" hidden="false" customHeight="false" outlineLevel="0" collapsed="false">
      <c r="A5" s="11" t="n">
        <v>4</v>
      </c>
      <c r="B5" s="12" t="s">
        <v>17</v>
      </c>
      <c r="C5" s="12" t="s">
        <v>16</v>
      </c>
      <c r="D5" s="11" t="s">
        <v>12</v>
      </c>
      <c r="E5" s="13" t="n">
        <v>300</v>
      </c>
      <c r="F5" s="13" t="s">
        <v>13</v>
      </c>
      <c r="G5" s="13" t="s">
        <v>14</v>
      </c>
      <c r="H5" s="13" t="n">
        <v>6000</v>
      </c>
      <c r="I5" s="14" t="n">
        <v>4200</v>
      </c>
      <c r="J5" s="14" t="n">
        <f aca="false">E5*I5</f>
        <v>1260000</v>
      </c>
      <c r="K5" s="15" t="n">
        <f aca="false">H5*80%</f>
        <v>4800</v>
      </c>
    </row>
    <row r="6" customFormat="false" ht="15.75" hidden="false" customHeight="false" outlineLevel="0" collapsed="false">
      <c r="A6" s="11" t="n">
        <v>5</v>
      </c>
      <c r="B6" s="12" t="s">
        <v>18</v>
      </c>
      <c r="C6" s="12" t="s">
        <v>16</v>
      </c>
      <c r="D6" s="11" t="s">
        <v>12</v>
      </c>
      <c r="E6" s="13" t="n">
        <v>1100</v>
      </c>
      <c r="F6" s="13" t="s">
        <v>13</v>
      </c>
      <c r="G6" s="13" t="s">
        <v>14</v>
      </c>
      <c r="H6" s="13" t="n">
        <v>6000</v>
      </c>
      <c r="I6" s="14" t="n">
        <v>4200</v>
      </c>
      <c r="J6" s="14" t="n">
        <f aca="false">E6*I6</f>
        <v>4620000</v>
      </c>
      <c r="K6" s="15" t="n">
        <f aca="false">H6*80%</f>
        <v>4800</v>
      </c>
    </row>
    <row r="7" s="20" customFormat="true" ht="64.9" hidden="false" customHeight="false" outlineLevel="0" collapsed="false">
      <c r="A7" s="11" t="n">
        <v>6</v>
      </c>
      <c r="B7" s="17" t="s">
        <v>19</v>
      </c>
      <c r="C7" s="18" t="s">
        <v>20</v>
      </c>
      <c r="D7" s="11" t="s">
        <v>12</v>
      </c>
      <c r="E7" s="19" t="n">
        <v>600</v>
      </c>
      <c r="F7" s="13" t="s">
        <v>13</v>
      </c>
      <c r="G7" s="13" t="s">
        <v>14</v>
      </c>
      <c r="H7" s="19" t="n">
        <v>6000</v>
      </c>
      <c r="I7" s="14" t="n">
        <v>4200</v>
      </c>
      <c r="J7" s="14" t="n">
        <f aca="false">E7*I7</f>
        <v>2520000</v>
      </c>
      <c r="K7" s="15" t="n">
        <f aca="false">H7*80%</f>
        <v>4800</v>
      </c>
      <c r="L7" s="0"/>
    </row>
    <row r="8" customFormat="false" ht="64.9" hidden="false" customHeight="false" outlineLevel="0" collapsed="false">
      <c r="A8" s="11" t="n">
        <v>7</v>
      </c>
      <c r="B8" s="12" t="s">
        <v>21</v>
      </c>
      <c r="C8" s="12" t="s">
        <v>20</v>
      </c>
      <c r="D8" s="11" t="s">
        <v>12</v>
      </c>
      <c r="E8" s="13" t="n">
        <v>2000</v>
      </c>
      <c r="F8" s="13" t="s">
        <v>13</v>
      </c>
      <c r="G8" s="13" t="s">
        <v>14</v>
      </c>
      <c r="H8" s="13" t="n">
        <v>6000</v>
      </c>
      <c r="I8" s="14" t="n">
        <v>4800</v>
      </c>
      <c r="J8" s="14" t="n">
        <f aca="false">E8*I8</f>
        <v>9600000</v>
      </c>
      <c r="K8" s="15" t="n">
        <f aca="false">H8*80%</f>
        <v>4800</v>
      </c>
    </row>
    <row r="9" customFormat="false" ht="39.55" hidden="false" customHeight="false" outlineLevel="0" collapsed="false">
      <c r="A9" s="11" t="n">
        <v>8</v>
      </c>
      <c r="B9" s="12" t="s">
        <v>22</v>
      </c>
      <c r="C9" s="12" t="s">
        <v>23</v>
      </c>
      <c r="D9" s="11" t="s">
        <v>12</v>
      </c>
      <c r="E9" s="13" t="n">
        <v>500</v>
      </c>
      <c r="F9" s="13" t="s">
        <v>13</v>
      </c>
      <c r="G9" s="13" t="s">
        <v>14</v>
      </c>
      <c r="H9" s="13" t="n">
        <v>10000</v>
      </c>
      <c r="I9" s="14" t="n">
        <v>8400</v>
      </c>
      <c r="J9" s="14" t="n">
        <f aca="false">E9*I9</f>
        <v>4200000</v>
      </c>
      <c r="K9" s="15" t="n">
        <f aca="false">H9*80%</f>
        <v>8000</v>
      </c>
    </row>
    <row r="10" customFormat="false" ht="39.55" hidden="false" customHeight="false" outlineLevel="0" collapsed="false">
      <c r="A10" s="11" t="n">
        <v>9</v>
      </c>
      <c r="B10" s="12" t="s">
        <v>24</v>
      </c>
      <c r="C10" s="12" t="s">
        <v>23</v>
      </c>
      <c r="D10" s="11" t="s">
        <v>12</v>
      </c>
      <c r="E10" s="13" t="n">
        <v>900</v>
      </c>
      <c r="F10" s="13" t="s">
        <v>13</v>
      </c>
      <c r="G10" s="13" t="s">
        <v>14</v>
      </c>
      <c r="H10" s="13" t="n">
        <v>7000</v>
      </c>
      <c r="I10" s="14" t="n">
        <v>5800</v>
      </c>
      <c r="J10" s="14" t="n">
        <f aca="false">E10*I10</f>
        <v>5220000</v>
      </c>
      <c r="K10" s="15" t="n">
        <f aca="false">H10*80%</f>
        <v>5600</v>
      </c>
    </row>
    <row r="11" customFormat="false" ht="39.55" hidden="false" customHeight="false" outlineLevel="0" collapsed="false">
      <c r="A11" s="11" t="n">
        <v>10</v>
      </c>
      <c r="B11" s="12" t="s">
        <v>25</v>
      </c>
      <c r="C11" s="12" t="s">
        <v>23</v>
      </c>
      <c r="D11" s="11" t="s">
        <v>12</v>
      </c>
      <c r="E11" s="13" t="n">
        <v>500</v>
      </c>
      <c r="F11" s="13" t="s">
        <v>13</v>
      </c>
      <c r="G11" s="13" t="s">
        <v>14</v>
      </c>
      <c r="H11" s="13" t="n">
        <v>7001</v>
      </c>
      <c r="I11" s="14" t="n">
        <v>5800</v>
      </c>
      <c r="J11" s="14" t="n">
        <f aca="false">E11*I11</f>
        <v>2900000</v>
      </c>
      <c r="K11" s="15" t="n">
        <f aca="false">H11*80%</f>
        <v>5600.8</v>
      </c>
    </row>
    <row r="12" customFormat="false" ht="39.55" hidden="false" customHeight="false" outlineLevel="0" collapsed="false">
      <c r="A12" s="11" t="n">
        <v>11</v>
      </c>
      <c r="B12" s="12" t="s">
        <v>26</v>
      </c>
      <c r="C12" s="12" t="s">
        <v>23</v>
      </c>
      <c r="D12" s="11" t="s">
        <v>12</v>
      </c>
      <c r="E12" s="13" t="n">
        <v>900</v>
      </c>
      <c r="F12" s="13" t="s">
        <v>13</v>
      </c>
      <c r="G12" s="13" t="s">
        <v>14</v>
      </c>
      <c r="H12" s="13" t="n">
        <v>7002</v>
      </c>
      <c r="I12" s="14" t="n">
        <v>5800</v>
      </c>
      <c r="J12" s="14" t="n">
        <f aca="false">E12*I12</f>
        <v>5220000</v>
      </c>
      <c r="K12" s="15" t="n">
        <f aca="false">H12*80%</f>
        <v>5601.6</v>
      </c>
    </row>
    <row r="13" s="20" customFormat="true" ht="179.1" hidden="false" customHeight="false" outlineLevel="0" collapsed="false">
      <c r="A13" s="11" t="n">
        <v>12</v>
      </c>
      <c r="B13" s="21" t="s">
        <v>27</v>
      </c>
      <c r="C13" s="18" t="s">
        <v>28</v>
      </c>
      <c r="D13" s="11" t="s">
        <v>12</v>
      </c>
      <c r="E13" s="19" t="n">
        <v>300</v>
      </c>
      <c r="F13" s="19"/>
      <c r="G13" s="13" t="s">
        <v>14</v>
      </c>
      <c r="H13" s="19" t="n">
        <v>7000</v>
      </c>
      <c r="I13" s="14" t="n">
        <v>6000</v>
      </c>
      <c r="J13" s="14" t="n">
        <f aca="false">E13*I13</f>
        <v>1800000</v>
      </c>
      <c r="K13" s="15" t="n">
        <f aca="false">H13*80%</f>
        <v>5600</v>
      </c>
      <c r="L13" s="0"/>
    </row>
    <row r="14" customFormat="false" ht="217.15" hidden="false" customHeight="false" outlineLevel="0" collapsed="false">
      <c r="A14" s="11" t="n">
        <v>13</v>
      </c>
      <c r="B14" s="12" t="s">
        <v>29</v>
      </c>
      <c r="C14" s="12" t="s">
        <v>30</v>
      </c>
      <c r="D14" s="11" t="s">
        <v>12</v>
      </c>
      <c r="E14" s="13" t="n">
        <v>1500</v>
      </c>
      <c r="F14" s="13"/>
      <c r="G14" s="13" t="s">
        <v>14</v>
      </c>
      <c r="H14" s="13" t="n">
        <v>11000</v>
      </c>
      <c r="I14" s="14" t="n">
        <v>9500</v>
      </c>
      <c r="J14" s="14" t="n">
        <f aca="false">E14*I14</f>
        <v>14250000</v>
      </c>
      <c r="K14" s="15" t="n">
        <f aca="false">H14*80%</f>
        <v>8800</v>
      </c>
    </row>
    <row r="15" customFormat="false" ht="179.1" hidden="false" customHeight="false" outlineLevel="0" collapsed="false">
      <c r="A15" s="11" t="n">
        <v>14</v>
      </c>
      <c r="B15" s="12" t="s">
        <v>31</v>
      </c>
      <c r="C15" s="12" t="s">
        <v>32</v>
      </c>
      <c r="D15" s="11" t="s">
        <v>12</v>
      </c>
      <c r="E15" s="13" t="n">
        <v>140</v>
      </c>
      <c r="F15" s="13" t="s">
        <v>13</v>
      </c>
      <c r="G15" s="13" t="s">
        <v>14</v>
      </c>
      <c r="H15" s="13" t="n">
        <v>40000</v>
      </c>
      <c r="I15" s="14" t="n">
        <v>80000</v>
      </c>
      <c r="J15" s="14" t="n">
        <f aca="false">E15*I15</f>
        <v>11200000</v>
      </c>
      <c r="K15" s="15" t="n">
        <f aca="false">H15*80%</f>
        <v>32000</v>
      </c>
    </row>
    <row r="16" customFormat="false" ht="204.45" hidden="false" customHeight="false" outlineLevel="0" collapsed="false">
      <c r="A16" s="11" t="n">
        <v>15</v>
      </c>
      <c r="B16" s="18" t="s">
        <v>33</v>
      </c>
      <c r="C16" s="12" t="s">
        <v>34</v>
      </c>
      <c r="D16" s="11" t="s">
        <v>12</v>
      </c>
      <c r="E16" s="13" t="n">
        <v>50</v>
      </c>
      <c r="F16" s="13" t="s">
        <v>35</v>
      </c>
      <c r="G16" s="13" t="s">
        <v>36</v>
      </c>
      <c r="H16" s="13" t="n">
        <v>130000</v>
      </c>
      <c r="I16" s="14" t="n">
        <v>104000</v>
      </c>
      <c r="J16" s="14" t="n">
        <f aca="false">E16*I16</f>
        <v>5200000</v>
      </c>
      <c r="K16" s="15" t="n">
        <f aca="false">H16*80%</f>
        <v>104000</v>
      </c>
    </row>
    <row r="17" customFormat="false" ht="15.75" hidden="false" customHeight="false" outlineLevel="0" collapsed="false">
      <c r="A17" s="11" t="n">
        <v>16</v>
      </c>
      <c r="B17" s="12" t="s">
        <v>37</v>
      </c>
      <c r="C17" s="12"/>
      <c r="D17" s="11" t="s">
        <v>38</v>
      </c>
      <c r="E17" s="13" t="n">
        <v>100</v>
      </c>
      <c r="F17" s="13" t="s">
        <v>39</v>
      </c>
      <c r="G17" s="13" t="s">
        <v>14</v>
      </c>
      <c r="H17" s="13" t="n">
        <v>25000</v>
      </c>
      <c r="I17" s="14" t="n">
        <v>20000</v>
      </c>
      <c r="J17" s="14" t="n">
        <f aca="false">E17*I17</f>
        <v>2000000</v>
      </c>
      <c r="K17" s="15" t="n">
        <f aca="false">H17*80%</f>
        <v>20000</v>
      </c>
    </row>
    <row r="18" customFormat="false" ht="15.75" hidden="false" customHeight="false" outlineLevel="0" collapsed="false">
      <c r="A18" s="11" t="n">
        <v>17</v>
      </c>
      <c r="B18" s="12" t="s">
        <v>40</v>
      </c>
      <c r="C18" s="12"/>
      <c r="D18" s="11" t="s">
        <v>38</v>
      </c>
      <c r="E18" s="13" t="n">
        <v>109</v>
      </c>
      <c r="F18" s="13" t="s">
        <v>39</v>
      </c>
      <c r="G18" s="13" t="s">
        <v>14</v>
      </c>
      <c r="H18" s="13" t="n">
        <v>25000</v>
      </c>
      <c r="I18" s="14" t="n">
        <v>20000</v>
      </c>
      <c r="J18" s="14" t="n">
        <f aca="false">E18*I18</f>
        <v>2180000</v>
      </c>
      <c r="K18" s="15" t="n">
        <f aca="false">H18*80%</f>
        <v>20000</v>
      </c>
    </row>
    <row r="19" customFormat="false" ht="15.75" hidden="false" customHeight="false" outlineLevel="0" collapsed="false">
      <c r="A19" s="11" t="n">
        <v>18</v>
      </c>
      <c r="B19" s="12" t="s">
        <v>41</v>
      </c>
      <c r="C19" s="12"/>
      <c r="D19" s="11" t="s">
        <v>38</v>
      </c>
      <c r="E19" s="13" t="n">
        <v>182</v>
      </c>
      <c r="F19" s="13" t="s">
        <v>39</v>
      </c>
      <c r="G19" s="13" t="s">
        <v>14</v>
      </c>
      <c r="H19" s="13" t="n">
        <v>26000</v>
      </c>
      <c r="I19" s="14" t="n">
        <v>20800</v>
      </c>
      <c r="J19" s="14" t="n">
        <f aca="false">E19*I19</f>
        <v>3785600</v>
      </c>
      <c r="K19" s="15" t="n">
        <f aca="false">H19*80%</f>
        <v>20800</v>
      </c>
    </row>
    <row r="20" customFormat="false" ht="15.75" hidden="false" customHeight="false" outlineLevel="0" collapsed="false">
      <c r="A20" s="11" t="n">
        <v>19</v>
      </c>
      <c r="B20" s="12" t="s">
        <v>42</v>
      </c>
      <c r="C20" s="12"/>
      <c r="D20" s="11" t="s">
        <v>38</v>
      </c>
      <c r="E20" s="13" t="n">
        <v>132</v>
      </c>
      <c r="F20" s="13" t="s">
        <v>39</v>
      </c>
      <c r="G20" s="13" t="s">
        <v>14</v>
      </c>
      <c r="H20" s="13" t="n">
        <v>27000</v>
      </c>
      <c r="I20" s="14" t="n">
        <v>21600</v>
      </c>
      <c r="J20" s="14" t="n">
        <f aca="false">E20*I20</f>
        <v>2851200</v>
      </c>
      <c r="K20" s="15" t="n">
        <f aca="false">H20*80%</f>
        <v>21600</v>
      </c>
    </row>
    <row r="21" s="20" customFormat="true" ht="15.75" hidden="false" customHeight="false" outlineLevel="0" collapsed="false">
      <c r="A21" s="11" t="n">
        <v>20</v>
      </c>
      <c r="B21" s="17" t="s">
        <v>43</v>
      </c>
      <c r="C21" s="18"/>
      <c r="D21" s="22" t="s">
        <v>44</v>
      </c>
      <c r="E21" s="19" t="n">
        <v>8</v>
      </c>
      <c r="F21" s="13" t="s">
        <v>39</v>
      </c>
      <c r="G21" s="13" t="s">
        <v>14</v>
      </c>
      <c r="H21" s="19" t="n">
        <v>50000</v>
      </c>
      <c r="I21" s="14" t="n">
        <v>40000</v>
      </c>
      <c r="J21" s="14" t="n">
        <f aca="false">E21*I21</f>
        <v>320000</v>
      </c>
      <c r="K21" s="15" t="n">
        <f aca="false">H21*80%</f>
        <v>40000</v>
      </c>
      <c r="L21" s="0"/>
    </row>
    <row r="22" customFormat="false" ht="15.75" hidden="false" customHeight="false" outlineLevel="0" collapsed="false">
      <c r="A22" s="11" t="n">
        <v>21</v>
      </c>
      <c r="B22" s="12" t="s">
        <v>45</v>
      </c>
      <c r="C22" s="12"/>
      <c r="D22" s="11" t="s">
        <v>46</v>
      </c>
      <c r="E22" s="13" t="n">
        <v>10</v>
      </c>
      <c r="F22" s="13" t="s">
        <v>39</v>
      </c>
      <c r="G22" s="13" t="s">
        <v>14</v>
      </c>
      <c r="H22" s="13" t="n">
        <v>1100000</v>
      </c>
      <c r="I22" s="14" t="n">
        <v>880000</v>
      </c>
      <c r="J22" s="14" t="n">
        <f aca="false">E22*I22</f>
        <v>8800000</v>
      </c>
      <c r="K22" s="15" t="n">
        <f aca="false">H22*80%</f>
        <v>880000</v>
      </c>
    </row>
    <row r="23" customFormat="false" ht="15.75" hidden="false" customHeight="false" outlineLevel="0" collapsed="false">
      <c r="A23" s="11" t="n">
        <v>22</v>
      </c>
      <c r="B23" s="12" t="s">
        <v>47</v>
      </c>
      <c r="C23" s="12"/>
      <c r="D23" s="11" t="s">
        <v>48</v>
      </c>
      <c r="E23" s="13" t="n">
        <v>10</v>
      </c>
      <c r="F23" s="13" t="s">
        <v>39</v>
      </c>
      <c r="G23" s="13" t="s">
        <v>14</v>
      </c>
      <c r="H23" s="13" t="n">
        <v>1700000</v>
      </c>
      <c r="I23" s="14" t="n">
        <v>1360000</v>
      </c>
      <c r="J23" s="14" t="n">
        <f aca="false">E23*I23</f>
        <v>13600000</v>
      </c>
      <c r="K23" s="15" t="n">
        <f aca="false">H23*80%</f>
        <v>1360000</v>
      </c>
    </row>
    <row r="24" customFormat="false" ht="77.6" hidden="false" customHeight="false" outlineLevel="0" collapsed="false">
      <c r="A24" s="11" t="n">
        <v>23</v>
      </c>
      <c r="B24" s="12" t="s">
        <v>49</v>
      </c>
      <c r="C24" s="12" t="s">
        <v>50</v>
      </c>
      <c r="D24" s="11" t="s">
        <v>48</v>
      </c>
      <c r="E24" s="13" t="n">
        <v>140</v>
      </c>
      <c r="F24" s="13" t="s">
        <v>51</v>
      </c>
      <c r="G24" s="13" t="s">
        <v>52</v>
      </c>
      <c r="H24" s="13" t="n">
        <v>60000</v>
      </c>
      <c r="I24" s="14" t="n">
        <v>48000</v>
      </c>
      <c r="J24" s="14" t="n">
        <f aca="false">E24*I24</f>
        <v>6720000</v>
      </c>
      <c r="K24" s="15" t="n">
        <f aca="false">H24*80%</f>
        <v>48000</v>
      </c>
    </row>
    <row r="25" customFormat="false" ht="77.6" hidden="false" customHeight="false" outlineLevel="0" collapsed="false">
      <c r="A25" s="11" t="n">
        <v>24</v>
      </c>
      <c r="B25" s="12" t="s">
        <v>53</v>
      </c>
      <c r="C25" s="12" t="s">
        <v>54</v>
      </c>
      <c r="D25" s="11" t="s">
        <v>48</v>
      </c>
      <c r="E25" s="13" t="n">
        <v>100</v>
      </c>
      <c r="F25" s="13" t="s">
        <v>51</v>
      </c>
      <c r="G25" s="13" t="s">
        <v>52</v>
      </c>
      <c r="H25" s="13" t="n">
        <v>35000</v>
      </c>
      <c r="I25" s="14" t="n">
        <v>28000</v>
      </c>
      <c r="J25" s="14" t="n">
        <f aca="false">E25*I25</f>
        <v>2800000</v>
      </c>
      <c r="K25" s="15" t="n">
        <f aca="false">H25*80%</f>
        <v>28000</v>
      </c>
    </row>
    <row r="26" s="20" customFormat="true" ht="52.2" hidden="false" customHeight="false" outlineLevel="0" collapsed="false">
      <c r="A26" s="11" t="n">
        <v>25</v>
      </c>
      <c r="B26" s="18" t="s">
        <v>55</v>
      </c>
      <c r="C26" s="18" t="s">
        <v>56</v>
      </c>
      <c r="D26" s="22" t="s">
        <v>46</v>
      </c>
      <c r="E26" s="19" t="n">
        <v>110</v>
      </c>
      <c r="F26" s="19" t="s">
        <v>57</v>
      </c>
      <c r="G26" s="13" t="s">
        <v>58</v>
      </c>
      <c r="H26" s="19" t="n">
        <v>30000</v>
      </c>
      <c r="I26" s="14" t="n">
        <v>30000</v>
      </c>
      <c r="J26" s="14" t="n">
        <f aca="false">E26*I26</f>
        <v>3300000</v>
      </c>
      <c r="K26" s="15" t="n">
        <f aca="false">H26*80%</f>
        <v>24000</v>
      </c>
      <c r="L26" s="0"/>
    </row>
    <row r="27" s="20" customFormat="true" ht="15.75" hidden="false" customHeight="false" outlineLevel="0" collapsed="false">
      <c r="A27" s="11" t="n">
        <v>26</v>
      </c>
      <c r="B27" s="18" t="s">
        <v>59</v>
      </c>
      <c r="C27" s="18"/>
      <c r="D27" s="22" t="s">
        <v>46</v>
      </c>
      <c r="E27" s="19" t="n">
        <v>30</v>
      </c>
      <c r="F27" s="19" t="s">
        <v>57</v>
      </c>
      <c r="G27" s="13" t="s">
        <v>58</v>
      </c>
      <c r="H27" s="19" t="n">
        <v>40000</v>
      </c>
      <c r="I27" s="14" t="n">
        <v>32000</v>
      </c>
      <c r="J27" s="14" t="n">
        <f aca="false">E27*I27</f>
        <v>960000</v>
      </c>
      <c r="K27" s="15" t="n">
        <f aca="false">H27*80%</f>
        <v>32000</v>
      </c>
      <c r="L27" s="0"/>
    </row>
    <row r="28" s="20" customFormat="true" ht="93.75" hidden="false" customHeight="true" outlineLevel="0" collapsed="false">
      <c r="A28" s="11" t="n">
        <v>27</v>
      </c>
      <c r="B28" s="12" t="s">
        <v>60</v>
      </c>
      <c r="C28" s="11" t="s">
        <v>61</v>
      </c>
      <c r="D28" s="22" t="s">
        <v>48</v>
      </c>
      <c r="E28" s="19" t="n">
        <v>20</v>
      </c>
      <c r="F28" s="19" t="s">
        <v>62</v>
      </c>
      <c r="G28" s="13" t="s">
        <v>58</v>
      </c>
      <c r="H28" s="19" t="n">
        <v>40000</v>
      </c>
      <c r="I28" s="14" t="n">
        <v>32000</v>
      </c>
      <c r="J28" s="14" t="n">
        <f aca="false">E28*I28</f>
        <v>640000</v>
      </c>
      <c r="K28" s="15" t="n">
        <f aca="false">H28*80%</f>
        <v>32000</v>
      </c>
      <c r="L28" s="0"/>
    </row>
    <row r="29" s="20" customFormat="true" ht="20.25" hidden="false" customHeight="true" outlineLevel="0" collapsed="false">
      <c r="A29" s="11" t="n">
        <v>28</v>
      </c>
      <c r="B29" s="23" t="s">
        <v>63</v>
      </c>
      <c r="C29" s="18" t="s">
        <v>64</v>
      </c>
      <c r="D29" s="22" t="s">
        <v>48</v>
      </c>
      <c r="E29" s="19" t="n">
        <v>60</v>
      </c>
      <c r="F29" s="19" t="s">
        <v>62</v>
      </c>
      <c r="G29" s="13" t="s">
        <v>58</v>
      </c>
      <c r="H29" s="19" t="n">
        <v>60000</v>
      </c>
      <c r="I29" s="14" t="n">
        <v>55000</v>
      </c>
      <c r="J29" s="14" t="n">
        <f aca="false">E29*I29</f>
        <v>3300000</v>
      </c>
      <c r="K29" s="15" t="n">
        <f aca="false">H29*80%</f>
        <v>48000</v>
      </c>
      <c r="L29" s="0"/>
    </row>
    <row r="30" s="20" customFormat="true" ht="153.7" hidden="false" customHeight="false" outlineLevel="0" collapsed="false">
      <c r="A30" s="11" t="n">
        <v>29</v>
      </c>
      <c r="B30" s="23" t="s">
        <v>65</v>
      </c>
      <c r="C30" s="18" t="s">
        <v>66</v>
      </c>
      <c r="D30" s="22" t="s">
        <v>48</v>
      </c>
      <c r="E30" s="19" t="n">
        <v>26</v>
      </c>
      <c r="F30" s="19" t="s">
        <v>57</v>
      </c>
      <c r="G30" s="13" t="s">
        <v>14</v>
      </c>
      <c r="H30" s="19" t="n">
        <v>60000</v>
      </c>
      <c r="I30" s="14" t="n">
        <v>60000</v>
      </c>
      <c r="J30" s="14" t="n">
        <f aca="false">E30*I30</f>
        <v>1560000</v>
      </c>
      <c r="K30" s="15" t="n">
        <f aca="false">H30*80%</f>
        <v>48000</v>
      </c>
      <c r="L30" s="0"/>
    </row>
    <row r="31" s="20" customFormat="true" ht="128.35" hidden="false" customHeight="false" outlineLevel="0" collapsed="false">
      <c r="A31" s="11" t="n">
        <v>30</v>
      </c>
      <c r="B31" s="23" t="s">
        <v>67</v>
      </c>
      <c r="C31" s="18" t="s">
        <v>68</v>
      </c>
      <c r="D31" s="22" t="s">
        <v>48</v>
      </c>
      <c r="E31" s="19" t="n">
        <v>26</v>
      </c>
      <c r="F31" s="19" t="s">
        <v>57</v>
      </c>
      <c r="G31" s="13" t="s">
        <v>14</v>
      </c>
      <c r="H31" s="19" t="n">
        <v>60000</v>
      </c>
      <c r="I31" s="14" t="n">
        <v>60000</v>
      </c>
      <c r="J31" s="14" t="n">
        <f aca="false">E31*I31</f>
        <v>1560000</v>
      </c>
      <c r="K31" s="15" t="n">
        <f aca="false">H31*80%</f>
        <v>48000</v>
      </c>
      <c r="L31" s="0"/>
    </row>
    <row r="32" customFormat="false" ht="15.75" hidden="false" customHeight="false" outlineLevel="0" collapsed="false">
      <c r="A32" s="11" t="n">
        <v>31</v>
      </c>
      <c r="B32" s="12" t="s">
        <v>69</v>
      </c>
      <c r="C32" s="12"/>
      <c r="D32" s="11" t="s">
        <v>48</v>
      </c>
      <c r="E32" s="13" t="n">
        <v>200</v>
      </c>
      <c r="F32" s="24" t="s">
        <v>70</v>
      </c>
      <c r="G32" s="13" t="s">
        <v>71</v>
      </c>
      <c r="H32" s="13" t="n">
        <v>80000</v>
      </c>
      <c r="I32" s="14" t="n">
        <v>55000</v>
      </c>
      <c r="J32" s="14" t="n">
        <f aca="false">E32*I32</f>
        <v>11000000</v>
      </c>
      <c r="K32" s="15" t="n">
        <f aca="false">H32*80%</f>
        <v>64000</v>
      </c>
    </row>
    <row r="33" customFormat="false" ht="15.75" hidden="false" customHeight="false" outlineLevel="0" collapsed="false">
      <c r="A33" s="11" t="n">
        <v>32</v>
      </c>
      <c r="B33" s="12" t="s">
        <v>72</v>
      </c>
      <c r="C33" s="12"/>
      <c r="D33" s="11" t="s">
        <v>48</v>
      </c>
      <c r="E33" s="13" t="n">
        <v>200</v>
      </c>
      <c r="F33" s="24" t="s">
        <v>70</v>
      </c>
      <c r="G33" s="13" t="s">
        <v>71</v>
      </c>
      <c r="H33" s="13" t="n">
        <v>85000</v>
      </c>
      <c r="I33" s="14" t="n">
        <v>55000</v>
      </c>
      <c r="J33" s="14" t="n">
        <f aca="false">E33*I33</f>
        <v>11000000</v>
      </c>
      <c r="K33" s="15" t="n">
        <f aca="false">H33*80%</f>
        <v>68000</v>
      </c>
    </row>
    <row r="34" s="20" customFormat="true" ht="15.75" hidden="false" customHeight="false" outlineLevel="0" collapsed="false">
      <c r="A34" s="11" t="n">
        <v>33</v>
      </c>
      <c r="B34" s="18" t="s">
        <v>73</v>
      </c>
      <c r="C34" s="18"/>
      <c r="D34" s="22" t="s">
        <v>38</v>
      </c>
      <c r="E34" s="19" t="n">
        <v>20</v>
      </c>
      <c r="F34" s="19" t="s">
        <v>39</v>
      </c>
      <c r="G34" s="13" t="s">
        <v>14</v>
      </c>
      <c r="H34" s="19" t="n">
        <v>30000</v>
      </c>
      <c r="I34" s="14" t="n">
        <v>24000</v>
      </c>
      <c r="J34" s="14" t="n">
        <f aca="false">E34*I34</f>
        <v>480000</v>
      </c>
      <c r="K34" s="15" t="n">
        <f aca="false">H34*80%</f>
        <v>24000</v>
      </c>
      <c r="L34" s="0"/>
    </row>
    <row r="35" s="20" customFormat="true" ht="15.75" hidden="false" customHeight="false" outlineLevel="0" collapsed="false">
      <c r="A35" s="11" t="n">
        <v>34</v>
      </c>
      <c r="B35" s="17" t="s">
        <v>74</v>
      </c>
      <c r="C35" s="18"/>
      <c r="D35" s="25" t="s">
        <v>44</v>
      </c>
      <c r="E35" s="19" t="n">
        <v>18</v>
      </c>
      <c r="F35" s="19" t="s">
        <v>39</v>
      </c>
      <c r="G35" s="13" t="s">
        <v>14</v>
      </c>
      <c r="H35" s="19" t="n">
        <v>35000</v>
      </c>
      <c r="I35" s="14" t="n">
        <v>28000</v>
      </c>
      <c r="J35" s="14" t="n">
        <f aca="false">E35*I35</f>
        <v>504000</v>
      </c>
      <c r="K35" s="15" t="n">
        <f aca="false">H35*80%</f>
        <v>28000</v>
      </c>
      <c r="L35" s="0"/>
    </row>
    <row r="36" customFormat="false" ht="15.75" hidden="false" customHeight="false" outlineLevel="0" collapsed="false">
      <c r="A36" s="11" t="n">
        <v>35</v>
      </c>
      <c r="B36" s="12" t="s">
        <v>75</v>
      </c>
      <c r="C36" s="12"/>
      <c r="D36" s="11" t="s">
        <v>38</v>
      </c>
      <c r="E36" s="13" t="n">
        <v>120</v>
      </c>
      <c r="F36" s="19" t="s">
        <v>39</v>
      </c>
      <c r="G36" s="13" t="s">
        <v>14</v>
      </c>
      <c r="H36" s="13" t="n">
        <v>40000</v>
      </c>
      <c r="I36" s="14" t="n">
        <v>32000</v>
      </c>
      <c r="J36" s="14" t="n">
        <f aca="false">E36*I36</f>
        <v>3840000</v>
      </c>
      <c r="K36" s="15" t="n">
        <f aca="false">H36*80%</f>
        <v>32000</v>
      </c>
    </row>
    <row r="37" customFormat="false" ht="15.75" hidden="false" customHeight="false" outlineLevel="0" collapsed="false">
      <c r="A37" s="11" t="n">
        <v>36</v>
      </c>
      <c r="B37" s="12" t="s">
        <v>76</v>
      </c>
      <c r="C37" s="12"/>
      <c r="D37" s="11" t="s">
        <v>38</v>
      </c>
      <c r="E37" s="13" t="n">
        <v>100</v>
      </c>
      <c r="F37" s="19" t="s">
        <v>39</v>
      </c>
      <c r="G37" s="13" t="s">
        <v>14</v>
      </c>
      <c r="H37" s="13" t="n">
        <v>45000</v>
      </c>
      <c r="I37" s="14" t="n">
        <v>36000</v>
      </c>
      <c r="J37" s="14" t="n">
        <f aca="false">E37*I37</f>
        <v>3600000</v>
      </c>
      <c r="K37" s="15" t="n">
        <f aca="false">H37*80%</f>
        <v>36000</v>
      </c>
    </row>
    <row r="38" s="20" customFormat="true" ht="15.75" hidden="false" customHeight="false" outlineLevel="0" collapsed="false">
      <c r="A38" s="11" t="n">
        <v>37</v>
      </c>
      <c r="B38" s="18" t="s">
        <v>77</v>
      </c>
      <c r="C38" s="18"/>
      <c r="D38" s="22" t="s">
        <v>38</v>
      </c>
      <c r="E38" s="19" t="n">
        <v>20</v>
      </c>
      <c r="F38" s="19" t="s">
        <v>39</v>
      </c>
      <c r="G38" s="13" t="s">
        <v>14</v>
      </c>
      <c r="H38" s="19" t="n">
        <v>50000</v>
      </c>
      <c r="I38" s="14" t="n">
        <v>40000</v>
      </c>
      <c r="J38" s="14" t="n">
        <f aca="false">E38*I38</f>
        <v>800000</v>
      </c>
      <c r="K38" s="15" t="n">
        <f aca="false">H38*80%</f>
        <v>40000</v>
      </c>
      <c r="L38" s="0"/>
    </row>
    <row r="39" customFormat="false" ht="15.75" hidden="false" customHeight="false" outlineLevel="0" collapsed="false">
      <c r="A39" s="11" t="n">
        <v>38</v>
      </c>
      <c r="B39" s="12" t="s">
        <v>78</v>
      </c>
      <c r="C39" s="12"/>
      <c r="D39" s="11" t="s">
        <v>48</v>
      </c>
      <c r="E39" s="13" t="n">
        <v>100</v>
      </c>
      <c r="F39" s="13" t="s">
        <v>79</v>
      </c>
      <c r="G39" s="13" t="s">
        <v>52</v>
      </c>
      <c r="H39" s="13" t="n">
        <v>150000</v>
      </c>
      <c r="I39" s="14" t="n">
        <v>120000</v>
      </c>
      <c r="J39" s="14" t="n">
        <f aca="false">E39*I39</f>
        <v>12000000</v>
      </c>
      <c r="K39" s="15" t="n">
        <f aca="false">H39*80%</f>
        <v>120000</v>
      </c>
    </row>
    <row r="40" s="20" customFormat="true" ht="15.75" hidden="false" customHeight="false" outlineLevel="0" collapsed="false">
      <c r="A40" s="11" t="n">
        <v>39</v>
      </c>
      <c r="B40" s="26" t="s">
        <v>80</v>
      </c>
      <c r="C40" s="18"/>
      <c r="D40" s="11" t="s">
        <v>48</v>
      </c>
      <c r="E40" s="19" t="n">
        <v>35</v>
      </c>
      <c r="F40" s="19" t="s">
        <v>81</v>
      </c>
      <c r="G40" s="13" t="s">
        <v>36</v>
      </c>
      <c r="H40" s="19" t="n">
        <v>150000</v>
      </c>
      <c r="I40" s="14" t="n">
        <v>160000</v>
      </c>
      <c r="J40" s="14" t="n">
        <f aca="false">E40*I40</f>
        <v>5600000</v>
      </c>
      <c r="K40" s="15" t="n">
        <f aca="false">H40*80%</f>
        <v>120000</v>
      </c>
      <c r="L40" s="0"/>
    </row>
    <row r="41" s="20" customFormat="true" ht="15.75" hidden="false" customHeight="false" outlineLevel="0" collapsed="false">
      <c r="A41" s="11" t="n">
        <v>40</v>
      </c>
      <c r="B41" s="26" t="s">
        <v>82</v>
      </c>
      <c r="C41" s="18"/>
      <c r="D41" s="11" t="s">
        <v>48</v>
      </c>
      <c r="E41" s="19" t="n">
        <v>25</v>
      </c>
      <c r="F41" s="19" t="s">
        <v>81</v>
      </c>
      <c r="G41" s="13" t="s">
        <v>36</v>
      </c>
      <c r="H41" s="19" t="n">
        <v>240000</v>
      </c>
      <c r="I41" s="14" t="n">
        <v>192000</v>
      </c>
      <c r="J41" s="14" t="n">
        <f aca="false">E41*I41</f>
        <v>4800000</v>
      </c>
      <c r="K41" s="15" t="n">
        <f aca="false">H41*80%</f>
        <v>192000</v>
      </c>
      <c r="L41" s="0"/>
    </row>
    <row r="42" s="20" customFormat="true" ht="15.75" hidden="false" customHeight="false" outlineLevel="0" collapsed="false">
      <c r="A42" s="11" t="n">
        <v>41</v>
      </c>
      <c r="B42" s="12" t="s">
        <v>83</v>
      </c>
      <c r="C42" s="18"/>
      <c r="D42" s="22" t="s">
        <v>48</v>
      </c>
      <c r="E42" s="19" t="n">
        <v>4</v>
      </c>
      <c r="F42" s="19" t="s">
        <v>51</v>
      </c>
      <c r="G42" s="13" t="s">
        <v>52</v>
      </c>
      <c r="H42" s="19" t="n">
        <v>550000</v>
      </c>
      <c r="I42" s="14" t="n">
        <v>440000</v>
      </c>
      <c r="J42" s="14" t="n">
        <f aca="false">E42*I42</f>
        <v>1760000</v>
      </c>
      <c r="K42" s="15" t="n">
        <f aca="false">H42*80%</f>
        <v>440000</v>
      </c>
      <c r="L42" s="0"/>
    </row>
    <row r="43" s="20" customFormat="true" ht="166.4" hidden="false" customHeight="false" outlineLevel="0" collapsed="false">
      <c r="A43" s="11" t="n">
        <v>42</v>
      </c>
      <c r="B43" s="12" t="s">
        <v>84</v>
      </c>
      <c r="C43" s="18" t="s">
        <v>85</v>
      </c>
      <c r="D43" s="22" t="s">
        <v>48</v>
      </c>
      <c r="E43" s="19" t="n">
        <v>4</v>
      </c>
      <c r="F43" s="19" t="s">
        <v>86</v>
      </c>
      <c r="G43" s="13" t="s">
        <v>14</v>
      </c>
      <c r="H43" s="19" t="n">
        <v>810000</v>
      </c>
      <c r="I43" s="14" t="n">
        <v>680000</v>
      </c>
      <c r="J43" s="14" t="n">
        <f aca="false">E43*I43</f>
        <v>2720000</v>
      </c>
      <c r="K43" s="15" t="n">
        <f aca="false">H43*80%</f>
        <v>648000</v>
      </c>
      <c r="L43" s="0"/>
    </row>
    <row r="44" s="20" customFormat="true" ht="77.6" hidden="false" customHeight="false" outlineLevel="0" collapsed="false">
      <c r="A44" s="11" t="n">
        <v>43</v>
      </c>
      <c r="B44" s="12" t="s">
        <v>87</v>
      </c>
      <c r="C44" s="18" t="s">
        <v>88</v>
      </c>
      <c r="D44" s="22" t="s">
        <v>48</v>
      </c>
      <c r="E44" s="19" t="n">
        <v>4</v>
      </c>
      <c r="F44" s="19" t="s">
        <v>86</v>
      </c>
      <c r="G44" s="13" t="s">
        <v>14</v>
      </c>
      <c r="H44" s="19" t="n">
        <v>720000</v>
      </c>
      <c r="I44" s="14" t="n">
        <v>576000</v>
      </c>
      <c r="J44" s="14" t="n">
        <f aca="false">E44*I44</f>
        <v>2304000</v>
      </c>
      <c r="K44" s="15" t="n">
        <f aca="false">H44*80%</f>
        <v>576000</v>
      </c>
      <c r="L44" s="0"/>
    </row>
    <row r="45" s="20" customFormat="true" ht="128.35" hidden="false" customHeight="false" outlineLevel="0" collapsed="false">
      <c r="A45" s="11" t="n">
        <v>44</v>
      </c>
      <c r="B45" s="12" t="s">
        <v>89</v>
      </c>
      <c r="C45" s="18" t="s">
        <v>90</v>
      </c>
      <c r="D45" s="22" t="s">
        <v>48</v>
      </c>
      <c r="E45" s="19" t="n">
        <v>19</v>
      </c>
      <c r="F45" s="19" t="s">
        <v>86</v>
      </c>
      <c r="G45" s="13" t="s">
        <v>14</v>
      </c>
      <c r="H45" s="19" t="n">
        <v>505000</v>
      </c>
      <c r="I45" s="14" t="n">
        <v>404000</v>
      </c>
      <c r="J45" s="14" t="n">
        <f aca="false">E45*I45</f>
        <v>7676000</v>
      </c>
      <c r="K45" s="15" t="n">
        <f aca="false">H45*80%</f>
        <v>404000</v>
      </c>
      <c r="L45" s="0"/>
    </row>
    <row r="46" s="20" customFormat="true" ht="77.6" hidden="false" customHeight="false" outlineLevel="0" collapsed="false">
      <c r="A46" s="11" t="n">
        <v>45</v>
      </c>
      <c r="B46" s="12" t="s">
        <v>91</v>
      </c>
      <c r="C46" s="18" t="s">
        <v>92</v>
      </c>
      <c r="D46" s="22" t="s">
        <v>48</v>
      </c>
      <c r="E46" s="19" t="n">
        <v>38</v>
      </c>
      <c r="F46" s="19" t="s">
        <v>39</v>
      </c>
      <c r="G46" s="13" t="s">
        <v>93</v>
      </c>
      <c r="H46" s="19" t="n">
        <v>125000</v>
      </c>
      <c r="I46" s="14" t="n">
        <v>100000</v>
      </c>
      <c r="J46" s="14" t="n">
        <f aca="false">E46*I46</f>
        <v>3800000</v>
      </c>
      <c r="K46" s="15" t="n">
        <f aca="false">H46*80%</f>
        <v>100000</v>
      </c>
      <c r="L46" s="0"/>
    </row>
    <row r="47" customFormat="false" ht="128.35" hidden="false" customHeight="false" outlineLevel="0" collapsed="false">
      <c r="A47" s="11" t="n">
        <v>46</v>
      </c>
      <c r="B47" s="12" t="s">
        <v>94</v>
      </c>
      <c r="C47" s="12" t="s">
        <v>95</v>
      </c>
      <c r="D47" s="11" t="s">
        <v>48</v>
      </c>
      <c r="E47" s="13" t="n">
        <v>10</v>
      </c>
      <c r="F47" s="13" t="s">
        <v>96</v>
      </c>
      <c r="G47" s="13" t="s">
        <v>93</v>
      </c>
      <c r="H47" s="13" t="n">
        <v>2600000</v>
      </c>
      <c r="I47" s="14" t="n">
        <v>2510000</v>
      </c>
      <c r="J47" s="14" t="n">
        <f aca="false">E47*I47</f>
        <v>25100000</v>
      </c>
      <c r="K47" s="15" t="n">
        <f aca="false">H47*80%</f>
        <v>2080000</v>
      </c>
    </row>
    <row r="48" customFormat="false" ht="90.25" hidden="false" customHeight="false" outlineLevel="0" collapsed="false">
      <c r="A48" s="11" t="n">
        <v>47</v>
      </c>
      <c r="B48" s="12" t="s">
        <v>97</v>
      </c>
      <c r="C48" s="12" t="s">
        <v>98</v>
      </c>
      <c r="D48" s="11" t="s">
        <v>48</v>
      </c>
      <c r="E48" s="13" t="n">
        <v>10</v>
      </c>
      <c r="F48" s="13" t="s">
        <v>99</v>
      </c>
      <c r="G48" s="13" t="s">
        <v>100</v>
      </c>
      <c r="H48" s="13" t="n">
        <v>130000</v>
      </c>
      <c r="I48" s="14" t="n">
        <v>104000</v>
      </c>
      <c r="J48" s="14" t="n">
        <f aca="false">E48*I48</f>
        <v>1040000</v>
      </c>
      <c r="K48" s="15" t="n">
        <f aca="false">H48*80%</f>
        <v>104000</v>
      </c>
    </row>
    <row r="49" customFormat="false" ht="128.35" hidden="false" customHeight="false" outlineLevel="0" collapsed="false">
      <c r="A49" s="11" t="n">
        <v>48</v>
      </c>
      <c r="B49" s="12" t="s">
        <v>101</v>
      </c>
      <c r="C49" s="12" t="s">
        <v>102</v>
      </c>
      <c r="D49" s="11" t="s">
        <v>48</v>
      </c>
      <c r="E49" s="13" t="n">
        <v>45</v>
      </c>
      <c r="F49" s="13" t="s">
        <v>86</v>
      </c>
      <c r="G49" s="13" t="s">
        <v>14</v>
      </c>
      <c r="H49" s="13" t="n">
        <v>470000</v>
      </c>
      <c r="I49" s="14" t="n">
        <v>376000</v>
      </c>
      <c r="J49" s="14" t="n">
        <f aca="false">E49*I49</f>
        <v>16920000</v>
      </c>
      <c r="K49" s="15" t="n">
        <f aca="false">H49*80%</f>
        <v>376000</v>
      </c>
    </row>
    <row r="50" s="20" customFormat="true" ht="26.85" hidden="false" customHeight="false" outlineLevel="0" collapsed="false">
      <c r="A50" s="11" t="n">
        <v>49</v>
      </c>
      <c r="B50" s="27" t="s">
        <v>103</v>
      </c>
      <c r="C50" s="18"/>
      <c r="D50" s="22" t="s">
        <v>48</v>
      </c>
      <c r="E50" s="19" t="n">
        <v>35</v>
      </c>
      <c r="F50" s="13" t="s">
        <v>86</v>
      </c>
      <c r="G50" s="13" t="s">
        <v>14</v>
      </c>
      <c r="H50" s="13" t="n">
        <v>470000</v>
      </c>
      <c r="I50" s="14" t="n">
        <v>376000</v>
      </c>
      <c r="J50" s="14" t="n">
        <f aca="false">E50*I50</f>
        <v>13160000</v>
      </c>
      <c r="K50" s="15" t="n">
        <f aca="false">H50*80%</f>
        <v>376000</v>
      </c>
      <c r="L50" s="0"/>
    </row>
    <row r="51" s="20" customFormat="true" ht="102.95" hidden="false" customHeight="false" outlineLevel="0" collapsed="false">
      <c r="A51" s="11" t="n">
        <v>50</v>
      </c>
      <c r="B51" s="27" t="s">
        <v>104</v>
      </c>
      <c r="C51" s="18" t="s">
        <v>105</v>
      </c>
      <c r="D51" s="22" t="s">
        <v>48</v>
      </c>
      <c r="E51" s="19" t="n">
        <v>13</v>
      </c>
      <c r="F51" s="19" t="s">
        <v>39</v>
      </c>
      <c r="G51" s="13" t="s">
        <v>14</v>
      </c>
      <c r="H51" s="19" t="n">
        <v>80000</v>
      </c>
      <c r="I51" s="14" t="n">
        <v>64000</v>
      </c>
      <c r="J51" s="14" t="n">
        <f aca="false">E51*I51</f>
        <v>832000</v>
      </c>
      <c r="K51" s="15" t="n">
        <f aca="false">H51*80%</f>
        <v>64000</v>
      </c>
      <c r="L51" s="0"/>
    </row>
    <row r="52" s="20" customFormat="true" ht="77.6" hidden="false" customHeight="false" outlineLevel="0" collapsed="false">
      <c r="A52" s="11" t="n">
        <v>51</v>
      </c>
      <c r="B52" s="27" t="s">
        <v>106</v>
      </c>
      <c r="C52" s="18" t="s">
        <v>107</v>
      </c>
      <c r="D52" s="22" t="s">
        <v>48</v>
      </c>
      <c r="E52" s="19" t="n">
        <v>13</v>
      </c>
      <c r="F52" s="19" t="s">
        <v>39</v>
      </c>
      <c r="G52" s="13" t="s">
        <v>14</v>
      </c>
      <c r="H52" s="19" t="n">
        <v>85000</v>
      </c>
      <c r="I52" s="14" t="n">
        <v>68000</v>
      </c>
      <c r="J52" s="14" t="n">
        <f aca="false">E52*I52</f>
        <v>884000</v>
      </c>
      <c r="K52" s="15" t="n">
        <f aca="false">H52*80%</f>
        <v>68000</v>
      </c>
      <c r="L52" s="0"/>
    </row>
    <row r="53" s="20" customFormat="true" ht="77.6" hidden="false" customHeight="false" outlineLevel="0" collapsed="false">
      <c r="A53" s="11" t="n">
        <v>52</v>
      </c>
      <c r="B53" s="18" t="s">
        <v>108</v>
      </c>
      <c r="C53" s="18" t="s">
        <v>109</v>
      </c>
      <c r="D53" s="22" t="s">
        <v>110</v>
      </c>
      <c r="E53" s="19" t="n">
        <v>12</v>
      </c>
      <c r="F53" s="19" t="s">
        <v>39</v>
      </c>
      <c r="G53" s="13" t="s">
        <v>14</v>
      </c>
      <c r="H53" s="19" t="n">
        <v>60000</v>
      </c>
      <c r="I53" s="14" t="n">
        <v>48000</v>
      </c>
      <c r="J53" s="14" t="n">
        <f aca="false">E53*I53</f>
        <v>576000</v>
      </c>
      <c r="K53" s="15" t="n">
        <f aca="false">H53*80%</f>
        <v>48000</v>
      </c>
      <c r="L53" s="0"/>
    </row>
    <row r="54" s="20" customFormat="true" ht="141" hidden="false" customHeight="false" outlineLevel="0" collapsed="false">
      <c r="A54" s="11" t="n">
        <v>53</v>
      </c>
      <c r="B54" s="18" t="s">
        <v>111</v>
      </c>
      <c r="C54" s="18" t="s">
        <v>112</v>
      </c>
      <c r="D54" s="22" t="s">
        <v>110</v>
      </c>
      <c r="E54" s="19" t="n">
        <v>12</v>
      </c>
      <c r="F54" s="19" t="s">
        <v>96</v>
      </c>
      <c r="G54" s="13" t="s">
        <v>113</v>
      </c>
      <c r="H54" s="19" t="n">
        <v>850000</v>
      </c>
      <c r="I54" s="14" t="n">
        <v>680000</v>
      </c>
      <c r="J54" s="14" t="n">
        <f aca="false">E54*I54</f>
        <v>8160000</v>
      </c>
      <c r="K54" s="15" t="n">
        <f aca="false">H54*80%</f>
        <v>680000</v>
      </c>
      <c r="L54" s="0"/>
    </row>
    <row r="55" customFormat="false" ht="39.55" hidden="false" customHeight="false" outlineLevel="0" collapsed="false">
      <c r="A55" s="11" t="n">
        <v>54</v>
      </c>
      <c r="B55" s="12" t="s">
        <v>114</v>
      </c>
      <c r="C55" s="12" t="s">
        <v>115</v>
      </c>
      <c r="D55" s="11" t="s">
        <v>48</v>
      </c>
      <c r="E55" s="13" t="n">
        <v>10</v>
      </c>
      <c r="F55" s="13" t="s">
        <v>86</v>
      </c>
      <c r="G55" s="13" t="s">
        <v>14</v>
      </c>
      <c r="H55" s="13" t="n">
        <v>482000</v>
      </c>
      <c r="I55" s="14" t="n">
        <v>385600</v>
      </c>
      <c r="J55" s="14" t="n">
        <f aca="false">E55*I55</f>
        <v>3856000</v>
      </c>
      <c r="K55" s="15" t="n">
        <f aca="false">H55*80%</f>
        <v>385600</v>
      </c>
    </row>
    <row r="56" customFormat="false" ht="102.95" hidden="false" customHeight="false" outlineLevel="0" collapsed="false">
      <c r="A56" s="11" t="n">
        <v>55</v>
      </c>
      <c r="B56" s="12" t="s">
        <v>116</v>
      </c>
      <c r="C56" s="12" t="s">
        <v>117</v>
      </c>
      <c r="D56" s="11" t="s">
        <v>118</v>
      </c>
      <c r="E56" s="13" t="n">
        <v>10</v>
      </c>
      <c r="F56" s="13" t="s">
        <v>86</v>
      </c>
      <c r="G56" s="13" t="s">
        <v>14</v>
      </c>
      <c r="H56" s="13" t="n">
        <v>811000</v>
      </c>
      <c r="I56" s="14" t="n">
        <v>648800</v>
      </c>
      <c r="J56" s="14" t="n">
        <f aca="false">E56*I56</f>
        <v>6488000</v>
      </c>
      <c r="K56" s="15" t="n">
        <f aca="false">H56*80%</f>
        <v>648800</v>
      </c>
    </row>
    <row r="57" customFormat="false" ht="356.7" hidden="false" customHeight="false" outlineLevel="0" collapsed="false">
      <c r="A57" s="11" t="n">
        <v>56</v>
      </c>
      <c r="B57" s="12" t="s">
        <v>119</v>
      </c>
      <c r="C57" s="12" t="s">
        <v>120</v>
      </c>
      <c r="D57" s="11" t="s">
        <v>118</v>
      </c>
      <c r="E57" s="13" t="n">
        <v>10</v>
      </c>
      <c r="F57" s="13" t="s">
        <v>121</v>
      </c>
      <c r="G57" s="13" t="s">
        <v>113</v>
      </c>
      <c r="H57" s="13" t="n">
        <v>110000</v>
      </c>
      <c r="I57" s="14" t="n">
        <v>110000</v>
      </c>
      <c r="J57" s="14" t="n">
        <f aca="false">E57*I57</f>
        <v>1100000</v>
      </c>
      <c r="K57" s="15" t="n">
        <f aca="false">H57*80%</f>
        <v>88000</v>
      </c>
    </row>
    <row r="58" s="20" customFormat="true" ht="128.35" hidden="false" customHeight="false" outlineLevel="0" collapsed="false">
      <c r="A58" s="11" t="n">
        <v>57</v>
      </c>
      <c r="B58" s="27" t="s">
        <v>122</v>
      </c>
      <c r="C58" s="18" t="s">
        <v>102</v>
      </c>
      <c r="D58" s="22" t="s">
        <v>48</v>
      </c>
      <c r="E58" s="19" t="n">
        <v>35</v>
      </c>
      <c r="F58" s="13" t="s">
        <v>86</v>
      </c>
      <c r="G58" s="13" t="s">
        <v>14</v>
      </c>
      <c r="H58" s="13" t="n">
        <v>470000</v>
      </c>
      <c r="I58" s="14" t="n">
        <v>376000</v>
      </c>
      <c r="J58" s="14" t="n">
        <f aca="false">E58*I58</f>
        <v>13160000</v>
      </c>
      <c r="K58" s="15" t="n">
        <f aca="false">H58*80%</f>
        <v>376000</v>
      </c>
      <c r="L58" s="0"/>
    </row>
    <row r="59" customFormat="false" ht="191.75" hidden="false" customHeight="false" outlineLevel="0" collapsed="false">
      <c r="A59" s="11" t="n">
        <v>58</v>
      </c>
      <c r="B59" s="12" t="s">
        <v>123</v>
      </c>
      <c r="C59" s="12" t="s">
        <v>124</v>
      </c>
      <c r="D59" s="11" t="s">
        <v>118</v>
      </c>
      <c r="E59" s="13" t="n">
        <v>61</v>
      </c>
      <c r="F59" s="13" t="s">
        <v>86</v>
      </c>
      <c r="G59" s="13" t="s">
        <v>14</v>
      </c>
      <c r="H59" s="13" t="n">
        <v>950000</v>
      </c>
      <c r="I59" s="14" t="n">
        <v>760000</v>
      </c>
      <c r="J59" s="14" t="n">
        <f aca="false">E59*I59</f>
        <v>46360000</v>
      </c>
      <c r="K59" s="15" t="n">
        <f aca="false">H59*80%</f>
        <v>760000</v>
      </c>
    </row>
    <row r="60" customFormat="false" ht="229.85" hidden="false" customHeight="false" outlineLevel="0" collapsed="false">
      <c r="A60" s="11" t="n">
        <v>59</v>
      </c>
      <c r="B60" s="12" t="s">
        <v>125</v>
      </c>
      <c r="C60" s="12" t="s">
        <v>126</v>
      </c>
      <c r="D60" s="11" t="s">
        <v>48</v>
      </c>
      <c r="E60" s="13" t="n">
        <v>10</v>
      </c>
      <c r="F60" s="13" t="s">
        <v>86</v>
      </c>
      <c r="G60" s="13" t="s">
        <v>14</v>
      </c>
      <c r="H60" s="13" t="n">
        <v>1658000</v>
      </c>
      <c r="I60" s="14" t="n">
        <v>1326400</v>
      </c>
      <c r="J60" s="14" t="n">
        <f aca="false">E60*I60</f>
        <v>13264000</v>
      </c>
      <c r="K60" s="15" t="n">
        <f aca="false">H60*80%</f>
        <v>1326400</v>
      </c>
    </row>
    <row r="61" s="20" customFormat="true" ht="106.5" hidden="false" customHeight="true" outlineLevel="0" collapsed="false">
      <c r="A61" s="11" t="n">
        <v>60</v>
      </c>
      <c r="B61" s="18" t="s">
        <v>127</v>
      </c>
      <c r="C61" s="12" t="s">
        <v>128</v>
      </c>
      <c r="D61" s="22" t="s">
        <v>118</v>
      </c>
      <c r="E61" s="19" t="n">
        <v>10</v>
      </c>
      <c r="F61" s="19" t="s">
        <v>129</v>
      </c>
      <c r="G61" s="13" t="s">
        <v>14</v>
      </c>
      <c r="H61" s="19" t="n">
        <v>240000</v>
      </c>
      <c r="I61" s="14" t="n">
        <v>192000</v>
      </c>
      <c r="J61" s="14" t="n">
        <f aca="false">E61*I61</f>
        <v>1920000</v>
      </c>
      <c r="K61" s="15" t="n">
        <f aca="false">H61*80%</f>
        <v>192000</v>
      </c>
      <c r="L61" s="0"/>
    </row>
    <row r="62" s="20" customFormat="true" ht="229.85" hidden="false" customHeight="false" outlineLevel="0" collapsed="false">
      <c r="A62" s="11" t="n">
        <v>61</v>
      </c>
      <c r="B62" s="18" t="s">
        <v>130</v>
      </c>
      <c r="C62" s="18" t="s">
        <v>131</v>
      </c>
      <c r="D62" s="22" t="s">
        <v>48</v>
      </c>
      <c r="E62" s="19" t="n">
        <v>24</v>
      </c>
      <c r="F62" s="19" t="s">
        <v>132</v>
      </c>
      <c r="G62" s="13" t="s">
        <v>58</v>
      </c>
      <c r="H62" s="19" t="n">
        <v>135000</v>
      </c>
      <c r="I62" s="14" t="n">
        <v>135000</v>
      </c>
      <c r="J62" s="14" t="n">
        <f aca="false">E62*I62</f>
        <v>3240000</v>
      </c>
      <c r="K62" s="15" t="n">
        <f aca="false">H62*80%</f>
        <v>108000</v>
      </c>
      <c r="L62" s="0"/>
    </row>
    <row r="63" customFormat="false" ht="26.85" hidden="false" customHeight="false" outlineLevel="0" collapsed="false">
      <c r="A63" s="11" t="n">
        <v>62</v>
      </c>
      <c r="B63" s="12" t="s">
        <v>133</v>
      </c>
      <c r="C63" s="12"/>
      <c r="D63" s="11" t="s">
        <v>48</v>
      </c>
      <c r="E63" s="13" t="n">
        <v>20</v>
      </c>
      <c r="F63" s="13" t="s">
        <v>134</v>
      </c>
      <c r="G63" s="13" t="s">
        <v>52</v>
      </c>
      <c r="H63" s="13" t="n">
        <v>195000</v>
      </c>
      <c r="I63" s="14" t="n">
        <v>156000</v>
      </c>
      <c r="J63" s="14" t="n">
        <f aca="false">E63*I63</f>
        <v>3120000</v>
      </c>
      <c r="K63" s="15" t="n">
        <f aca="false">H63*80%</f>
        <v>156000</v>
      </c>
    </row>
    <row r="64" s="20" customFormat="true" ht="128.35" hidden="false" customHeight="false" outlineLevel="0" collapsed="false">
      <c r="A64" s="11" t="n">
        <v>63</v>
      </c>
      <c r="B64" s="26" t="s">
        <v>135</v>
      </c>
      <c r="C64" s="18" t="s">
        <v>136</v>
      </c>
      <c r="D64" s="28" t="s">
        <v>137</v>
      </c>
      <c r="E64" s="19" t="n">
        <v>21</v>
      </c>
      <c r="F64" s="19" t="s">
        <v>99</v>
      </c>
      <c r="G64" s="13" t="s">
        <v>58</v>
      </c>
      <c r="H64" s="19" t="n">
        <v>470000</v>
      </c>
      <c r="I64" s="14" t="n">
        <v>470000</v>
      </c>
      <c r="J64" s="14" t="n">
        <f aca="false">E64*I64</f>
        <v>9870000</v>
      </c>
      <c r="K64" s="15" t="n">
        <f aca="false">H64*80%</f>
        <v>376000</v>
      </c>
      <c r="L64" s="0"/>
    </row>
    <row r="65" customFormat="false" ht="102.95" hidden="false" customHeight="false" outlineLevel="0" collapsed="false">
      <c r="A65" s="11" t="n">
        <v>64</v>
      </c>
      <c r="B65" s="12" t="s">
        <v>138</v>
      </c>
      <c r="C65" s="12" t="s">
        <v>139</v>
      </c>
      <c r="D65" s="11" t="s">
        <v>48</v>
      </c>
      <c r="E65" s="13" t="n">
        <v>10</v>
      </c>
      <c r="F65" s="13" t="s">
        <v>39</v>
      </c>
      <c r="G65" s="13" t="s">
        <v>14</v>
      </c>
      <c r="H65" s="13" t="n">
        <v>145000</v>
      </c>
      <c r="I65" s="14" t="n">
        <v>116000</v>
      </c>
      <c r="J65" s="14" t="n">
        <f aca="false">E65*I65</f>
        <v>1160000</v>
      </c>
      <c r="K65" s="15" t="n">
        <f aca="false">H65*80%</f>
        <v>116000</v>
      </c>
    </row>
    <row r="66" s="20" customFormat="true" ht="52.2" hidden="false" customHeight="false" outlineLevel="0" collapsed="false">
      <c r="A66" s="11" t="n">
        <v>65</v>
      </c>
      <c r="B66" s="18" t="s">
        <v>140</v>
      </c>
      <c r="C66" s="18" t="s">
        <v>141</v>
      </c>
      <c r="D66" s="25" t="s">
        <v>48</v>
      </c>
      <c r="E66" s="19" t="n">
        <v>32</v>
      </c>
      <c r="F66" s="19" t="s">
        <v>39</v>
      </c>
      <c r="G66" s="13" t="s">
        <v>14</v>
      </c>
      <c r="H66" s="19" t="n">
        <v>20000</v>
      </c>
      <c r="I66" s="14" t="n">
        <v>16000</v>
      </c>
      <c r="J66" s="14" t="n">
        <f aca="false">E66*I66</f>
        <v>512000</v>
      </c>
      <c r="K66" s="15" t="n">
        <f aca="false">H66*80%</f>
        <v>16000</v>
      </c>
      <c r="L66" s="0"/>
    </row>
    <row r="67" s="20" customFormat="true" ht="52.2" hidden="false" customHeight="false" outlineLevel="0" collapsed="false">
      <c r="A67" s="11" t="n">
        <v>66</v>
      </c>
      <c r="B67" s="18" t="s">
        <v>142</v>
      </c>
      <c r="C67" s="18" t="s">
        <v>143</v>
      </c>
      <c r="D67" s="25" t="s">
        <v>48</v>
      </c>
      <c r="E67" s="19" t="n">
        <v>32</v>
      </c>
      <c r="F67" s="19" t="s">
        <v>39</v>
      </c>
      <c r="G67" s="13" t="s">
        <v>14</v>
      </c>
      <c r="H67" s="19" t="n">
        <v>10000</v>
      </c>
      <c r="I67" s="14" t="n">
        <v>8000</v>
      </c>
      <c r="J67" s="14" t="n">
        <f aca="false">E67*I67</f>
        <v>256000</v>
      </c>
      <c r="K67" s="15" t="n">
        <f aca="false">H67*80%</f>
        <v>8000</v>
      </c>
      <c r="L67" s="0"/>
    </row>
    <row r="68" s="20" customFormat="true" ht="102.95" hidden="false" customHeight="false" outlineLevel="0" collapsed="false">
      <c r="A68" s="11" t="n">
        <v>67</v>
      </c>
      <c r="B68" s="18" t="s">
        <v>144</v>
      </c>
      <c r="C68" s="18" t="s">
        <v>145</v>
      </c>
      <c r="D68" s="25" t="s">
        <v>48</v>
      </c>
      <c r="E68" s="19" t="n">
        <v>16</v>
      </c>
      <c r="F68" s="19" t="s">
        <v>39</v>
      </c>
      <c r="G68" s="13" t="s">
        <v>14</v>
      </c>
      <c r="H68" s="19" t="n">
        <v>30000</v>
      </c>
      <c r="I68" s="14" t="n">
        <v>24000</v>
      </c>
      <c r="J68" s="14" t="n">
        <f aca="false">E68*I68</f>
        <v>384000</v>
      </c>
      <c r="K68" s="15" t="n">
        <f aca="false">H68*80%</f>
        <v>24000</v>
      </c>
      <c r="L68" s="0"/>
    </row>
    <row r="69" s="20" customFormat="true" ht="64.9" hidden="false" customHeight="false" outlineLevel="0" collapsed="false">
      <c r="A69" s="11" t="n">
        <v>68</v>
      </c>
      <c r="B69" s="18" t="s">
        <v>146</v>
      </c>
      <c r="C69" s="18" t="s">
        <v>147</v>
      </c>
      <c r="D69" s="25" t="s">
        <v>48</v>
      </c>
      <c r="E69" s="19" t="n">
        <v>8</v>
      </c>
      <c r="F69" s="19" t="s">
        <v>51</v>
      </c>
      <c r="G69" s="13" t="s">
        <v>14</v>
      </c>
      <c r="H69" s="19" t="n">
        <v>215000</v>
      </c>
      <c r="I69" s="14" t="n">
        <v>172000</v>
      </c>
      <c r="J69" s="14" t="n">
        <f aca="false">E69*I69</f>
        <v>1376000</v>
      </c>
      <c r="K69" s="15" t="n">
        <f aca="false">H69*80%</f>
        <v>172000</v>
      </c>
      <c r="L69" s="0"/>
    </row>
    <row r="70" customFormat="false" ht="15.75" hidden="false" customHeight="false" outlineLevel="0" collapsed="false">
      <c r="A70" s="11" t="n">
        <v>69</v>
      </c>
      <c r="B70" s="12" t="s">
        <v>148</v>
      </c>
      <c r="C70" s="12"/>
      <c r="D70" s="11" t="s">
        <v>48</v>
      </c>
      <c r="E70" s="13" t="n">
        <v>40</v>
      </c>
      <c r="F70" s="13" t="s">
        <v>39</v>
      </c>
      <c r="G70" s="13" t="s">
        <v>14</v>
      </c>
      <c r="H70" s="13" t="n">
        <v>15000</v>
      </c>
      <c r="I70" s="14" t="n">
        <v>12000</v>
      </c>
      <c r="J70" s="14" t="n">
        <f aca="false">E70*I70</f>
        <v>480000</v>
      </c>
      <c r="K70" s="15" t="n">
        <f aca="false">H70*80%</f>
        <v>12000</v>
      </c>
    </row>
    <row r="71" customFormat="false" ht="15.75" hidden="false" customHeight="false" outlineLevel="0" collapsed="false">
      <c r="A71" s="11" t="n">
        <v>70</v>
      </c>
      <c r="B71" s="12" t="s">
        <v>149</v>
      </c>
      <c r="C71" s="12"/>
      <c r="D71" s="11" t="s">
        <v>48</v>
      </c>
      <c r="E71" s="13" t="n">
        <v>40</v>
      </c>
      <c r="F71" s="13" t="s">
        <v>39</v>
      </c>
      <c r="G71" s="13" t="s">
        <v>14</v>
      </c>
      <c r="H71" s="13" t="n">
        <v>15000</v>
      </c>
      <c r="I71" s="14" t="n">
        <v>12000</v>
      </c>
      <c r="J71" s="14" t="n">
        <f aca="false">E71*I71</f>
        <v>480000</v>
      </c>
      <c r="K71" s="15" t="n">
        <f aca="false">H71*80%</f>
        <v>12000</v>
      </c>
    </row>
    <row r="72" customFormat="false" ht="77.6" hidden="false" customHeight="false" outlineLevel="0" collapsed="false">
      <c r="A72" s="11" t="n">
        <v>71</v>
      </c>
      <c r="B72" s="12" t="s">
        <v>150</v>
      </c>
      <c r="C72" s="12" t="s">
        <v>151</v>
      </c>
      <c r="D72" s="11" t="s">
        <v>152</v>
      </c>
      <c r="E72" s="13" t="n">
        <v>250</v>
      </c>
      <c r="F72" s="13" t="s">
        <v>153</v>
      </c>
      <c r="G72" s="13" t="s">
        <v>14</v>
      </c>
      <c r="H72" s="13" t="n">
        <v>7500</v>
      </c>
      <c r="I72" s="14" t="n">
        <v>6000</v>
      </c>
      <c r="J72" s="14" t="n">
        <f aca="false">E72*I72</f>
        <v>1500000</v>
      </c>
      <c r="K72" s="15" t="n">
        <f aca="false">H72*80%</f>
        <v>6000</v>
      </c>
    </row>
    <row r="73" customFormat="false" ht="77.6" hidden="false" customHeight="false" outlineLevel="0" collapsed="false">
      <c r="A73" s="11" t="n">
        <v>72</v>
      </c>
      <c r="B73" s="12" t="s">
        <v>154</v>
      </c>
      <c r="C73" s="12" t="s">
        <v>155</v>
      </c>
      <c r="D73" s="11" t="s">
        <v>156</v>
      </c>
      <c r="E73" s="13" t="n">
        <v>80</v>
      </c>
      <c r="F73" s="13" t="s">
        <v>157</v>
      </c>
      <c r="G73" s="13" t="s">
        <v>14</v>
      </c>
      <c r="H73" s="13" t="n">
        <v>7500</v>
      </c>
      <c r="I73" s="14" t="n">
        <v>6000</v>
      </c>
      <c r="J73" s="14" t="n">
        <f aca="false">E73*I73</f>
        <v>480000</v>
      </c>
      <c r="K73" s="15" t="n">
        <f aca="false">H73*80%</f>
        <v>6000</v>
      </c>
    </row>
    <row r="74" customFormat="false" ht="67.5" hidden="false" customHeight="true" outlineLevel="0" collapsed="false">
      <c r="A74" s="11" t="n">
        <v>73</v>
      </c>
      <c r="B74" s="18" t="s">
        <v>158</v>
      </c>
      <c r="C74" s="12" t="s">
        <v>159</v>
      </c>
      <c r="D74" s="11" t="s">
        <v>46</v>
      </c>
      <c r="E74" s="13" t="n">
        <v>5</v>
      </c>
      <c r="F74" s="13" t="s">
        <v>160</v>
      </c>
      <c r="G74" s="13" t="s">
        <v>14</v>
      </c>
      <c r="H74" s="13" t="n">
        <v>70000</v>
      </c>
      <c r="I74" s="14" t="n">
        <v>56000</v>
      </c>
      <c r="J74" s="14" t="n">
        <f aca="false">E74*I74</f>
        <v>280000</v>
      </c>
      <c r="K74" s="15" t="n">
        <f aca="false">H74*80%</f>
        <v>56000</v>
      </c>
    </row>
    <row r="75" s="20" customFormat="true" ht="15.75" hidden="false" customHeight="false" outlineLevel="0" collapsed="false">
      <c r="A75" s="11" t="n">
        <v>74</v>
      </c>
      <c r="B75" s="26" t="s">
        <v>161</v>
      </c>
      <c r="C75" s="18"/>
      <c r="D75" s="22" t="s">
        <v>118</v>
      </c>
      <c r="E75" s="13" t="n">
        <v>21</v>
      </c>
      <c r="F75" s="13" t="s">
        <v>39</v>
      </c>
      <c r="G75" s="13" t="s">
        <v>14</v>
      </c>
      <c r="H75" s="13" t="n">
        <v>135000</v>
      </c>
      <c r="I75" s="14" t="n">
        <v>108000</v>
      </c>
      <c r="J75" s="14" t="n">
        <f aca="false">E75*I75</f>
        <v>2268000</v>
      </c>
      <c r="K75" s="15" t="n">
        <f aca="false">H75*80%</f>
        <v>108000</v>
      </c>
      <c r="L75" s="0"/>
    </row>
    <row r="76" customFormat="false" ht="90.25" hidden="false" customHeight="false" outlineLevel="0" collapsed="false">
      <c r="A76" s="11" t="n">
        <v>75</v>
      </c>
      <c r="B76" s="12" t="s">
        <v>162</v>
      </c>
      <c r="C76" s="12" t="s">
        <v>163</v>
      </c>
      <c r="D76" s="11" t="s">
        <v>48</v>
      </c>
      <c r="E76" s="13" t="n">
        <v>50</v>
      </c>
      <c r="F76" s="13" t="s">
        <v>39</v>
      </c>
      <c r="G76" s="13" t="s">
        <v>14</v>
      </c>
      <c r="H76" s="13" t="n">
        <v>20000</v>
      </c>
      <c r="I76" s="14" t="n">
        <v>16000</v>
      </c>
      <c r="J76" s="14" t="n">
        <f aca="false">E76*I76</f>
        <v>800000</v>
      </c>
      <c r="K76" s="15" t="n">
        <f aca="false">H76*80%</f>
        <v>16000</v>
      </c>
    </row>
    <row r="77" customFormat="false" ht="102.95" hidden="false" customHeight="false" outlineLevel="0" collapsed="false">
      <c r="A77" s="11" t="n">
        <v>76</v>
      </c>
      <c r="B77" s="12" t="s">
        <v>164</v>
      </c>
      <c r="C77" s="12" t="s">
        <v>165</v>
      </c>
      <c r="D77" s="11" t="s">
        <v>166</v>
      </c>
      <c r="E77" s="13" t="n">
        <v>50</v>
      </c>
      <c r="F77" s="13" t="s">
        <v>39</v>
      </c>
      <c r="G77" s="13" t="s">
        <v>14</v>
      </c>
      <c r="H77" s="13" t="n">
        <v>3000</v>
      </c>
      <c r="I77" s="14" t="n">
        <v>2400</v>
      </c>
      <c r="J77" s="14" t="n">
        <f aca="false">E77*I77</f>
        <v>120000</v>
      </c>
      <c r="K77" s="15" t="n">
        <f aca="false">H77*80%</f>
        <v>2400</v>
      </c>
    </row>
    <row r="78" customFormat="false" ht="102.95" hidden="false" customHeight="false" outlineLevel="0" collapsed="false">
      <c r="A78" s="11" t="n">
        <v>77</v>
      </c>
      <c r="B78" s="12" t="s">
        <v>167</v>
      </c>
      <c r="C78" s="12" t="s">
        <v>165</v>
      </c>
      <c r="D78" s="11" t="s">
        <v>166</v>
      </c>
      <c r="E78" s="13" t="n">
        <v>50</v>
      </c>
      <c r="F78" s="13" t="s">
        <v>39</v>
      </c>
      <c r="G78" s="13" t="s">
        <v>14</v>
      </c>
      <c r="H78" s="13" t="n">
        <v>3000</v>
      </c>
      <c r="I78" s="14" t="n">
        <v>2400</v>
      </c>
      <c r="J78" s="14" t="n">
        <f aca="false">E78*I78</f>
        <v>120000</v>
      </c>
      <c r="K78" s="15" t="n">
        <f aca="false">H78*80%</f>
        <v>2400</v>
      </c>
    </row>
    <row r="79" customFormat="false" ht="102.95" hidden="false" customHeight="false" outlineLevel="0" collapsed="false">
      <c r="A79" s="11" t="n">
        <v>78</v>
      </c>
      <c r="B79" s="12" t="s">
        <v>168</v>
      </c>
      <c r="C79" s="12" t="s">
        <v>165</v>
      </c>
      <c r="D79" s="11" t="s">
        <v>166</v>
      </c>
      <c r="E79" s="13" t="n">
        <v>50</v>
      </c>
      <c r="F79" s="13" t="s">
        <v>39</v>
      </c>
      <c r="G79" s="13" t="s">
        <v>14</v>
      </c>
      <c r="H79" s="13" t="n">
        <v>3000</v>
      </c>
      <c r="I79" s="14" t="n">
        <v>2400</v>
      </c>
      <c r="J79" s="14" t="n">
        <f aca="false">E79*I79</f>
        <v>120000</v>
      </c>
      <c r="K79" s="15" t="n">
        <f aca="false">H79*80%</f>
        <v>2400</v>
      </c>
    </row>
    <row r="80" customFormat="false" ht="90.25" hidden="false" customHeight="false" outlineLevel="0" collapsed="false">
      <c r="A80" s="11" t="n">
        <v>79</v>
      </c>
      <c r="B80" s="12" t="s">
        <v>169</v>
      </c>
      <c r="C80" s="12" t="s">
        <v>170</v>
      </c>
      <c r="D80" s="11" t="s">
        <v>166</v>
      </c>
      <c r="E80" s="13" t="n">
        <v>50</v>
      </c>
      <c r="F80" s="13" t="s">
        <v>39</v>
      </c>
      <c r="G80" s="13" t="s">
        <v>14</v>
      </c>
      <c r="H80" s="13" t="n">
        <v>10000</v>
      </c>
      <c r="I80" s="14" t="n">
        <v>8000</v>
      </c>
      <c r="J80" s="14" t="n">
        <f aca="false">E80*I80</f>
        <v>400000</v>
      </c>
      <c r="K80" s="15" t="n">
        <f aca="false">H80*80%</f>
        <v>8000</v>
      </c>
    </row>
    <row r="81" customFormat="false" ht="90.25" hidden="false" customHeight="false" outlineLevel="0" collapsed="false">
      <c r="A81" s="11" t="n">
        <v>80</v>
      </c>
      <c r="B81" s="12" t="s">
        <v>171</v>
      </c>
      <c r="C81" s="12" t="s">
        <v>172</v>
      </c>
      <c r="D81" s="11" t="s">
        <v>166</v>
      </c>
      <c r="E81" s="13" t="n">
        <v>50</v>
      </c>
      <c r="F81" s="13" t="s">
        <v>39</v>
      </c>
      <c r="G81" s="13" t="s">
        <v>14</v>
      </c>
      <c r="H81" s="13" t="n">
        <v>10000</v>
      </c>
      <c r="I81" s="14" t="n">
        <v>8000</v>
      </c>
      <c r="J81" s="14" t="n">
        <f aca="false">E81*I81</f>
        <v>400000</v>
      </c>
      <c r="K81" s="15" t="n">
        <f aca="false">H81*80%</f>
        <v>8000</v>
      </c>
    </row>
    <row r="82" customFormat="false" ht="90.25" hidden="false" customHeight="false" outlineLevel="0" collapsed="false">
      <c r="A82" s="11" t="n">
        <v>81</v>
      </c>
      <c r="B82" s="12" t="s">
        <v>173</v>
      </c>
      <c r="C82" s="12" t="s">
        <v>174</v>
      </c>
      <c r="D82" s="11" t="s">
        <v>166</v>
      </c>
      <c r="E82" s="13" t="n">
        <v>50</v>
      </c>
      <c r="F82" s="13" t="s">
        <v>39</v>
      </c>
      <c r="G82" s="13" t="s">
        <v>14</v>
      </c>
      <c r="H82" s="13" t="n">
        <v>2000</v>
      </c>
      <c r="I82" s="14" t="n">
        <v>1600</v>
      </c>
      <c r="J82" s="14" t="n">
        <f aca="false">E82*I82</f>
        <v>80000</v>
      </c>
      <c r="K82" s="15" t="n">
        <f aca="false">H82*80%</f>
        <v>1600</v>
      </c>
    </row>
    <row r="83" customFormat="false" ht="15.75" hidden="false" customHeight="false" outlineLevel="0" collapsed="false">
      <c r="A83" s="11" t="n">
        <v>82</v>
      </c>
      <c r="B83" s="12" t="s">
        <v>175</v>
      </c>
      <c r="C83" s="12"/>
      <c r="D83" s="11" t="s">
        <v>166</v>
      </c>
      <c r="E83" s="13" t="n">
        <v>50</v>
      </c>
      <c r="F83" s="13" t="s">
        <v>39</v>
      </c>
      <c r="G83" s="13" t="s">
        <v>14</v>
      </c>
      <c r="H83" s="13" t="n">
        <v>2000</v>
      </c>
      <c r="I83" s="14" t="n">
        <v>1600</v>
      </c>
      <c r="J83" s="14" t="n">
        <f aca="false">E83*I83</f>
        <v>80000</v>
      </c>
      <c r="K83" s="15" t="n">
        <f aca="false">H83*80%</f>
        <v>1600</v>
      </c>
    </row>
    <row r="84" customFormat="false" ht="64.9" hidden="false" customHeight="false" outlineLevel="0" collapsed="false">
      <c r="A84" s="11" t="n">
        <v>83</v>
      </c>
      <c r="B84" s="12" t="s">
        <v>176</v>
      </c>
      <c r="C84" s="12" t="s">
        <v>177</v>
      </c>
      <c r="D84" s="11" t="s">
        <v>166</v>
      </c>
      <c r="E84" s="13" t="n">
        <v>100</v>
      </c>
      <c r="F84" s="13" t="s">
        <v>39</v>
      </c>
      <c r="G84" s="13" t="s">
        <v>14</v>
      </c>
      <c r="H84" s="13" t="n">
        <v>3000</v>
      </c>
      <c r="I84" s="14" t="n">
        <v>2400</v>
      </c>
      <c r="J84" s="14" t="n">
        <f aca="false">E84*I84</f>
        <v>240000</v>
      </c>
      <c r="K84" s="15" t="n">
        <f aca="false">H84*80%</f>
        <v>2400</v>
      </c>
    </row>
    <row r="85" customFormat="false" ht="77.6" hidden="false" customHeight="false" outlineLevel="0" collapsed="false">
      <c r="A85" s="11" t="n">
        <v>84</v>
      </c>
      <c r="B85" s="12" t="s">
        <v>178</v>
      </c>
      <c r="C85" s="12" t="s">
        <v>179</v>
      </c>
      <c r="D85" s="11" t="s">
        <v>166</v>
      </c>
      <c r="E85" s="13" t="n">
        <v>100</v>
      </c>
      <c r="F85" s="13" t="s">
        <v>39</v>
      </c>
      <c r="G85" s="13" t="s">
        <v>14</v>
      </c>
      <c r="H85" s="13" t="n">
        <v>2000</v>
      </c>
      <c r="I85" s="14" t="n">
        <v>1600</v>
      </c>
      <c r="J85" s="14" t="n">
        <f aca="false">E85*I85</f>
        <v>160000</v>
      </c>
      <c r="K85" s="15" t="n">
        <f aca="false">H85*80%</f>
        <v>1600</v>
      </c>
    </row>
    <row r="86" customFormat="false" ht="102.95" hidden="false" customHeight="false" outlineLevel="0" collapsed="false">
      <c r="A86" s="11" t="n">
        <v>85</v>
      </c>
      <c r="B86" s="12" t="s">
        <v>180</v>
      </c>
      <c r="C86" s="12" t="s">
        <v>181</v>
      </c>
      <c r="D86" s="11" t="s">
        <v>166</v>
      </c>
      <c r="E86" s="13" t="n">
        <v>100</v>
      </c>
      <c r="F86" s="13" t="s">
        <v>39</v>
      </c>
      <c r="G86" s="13" t="s">
        <v>14</v>
      </c>
      <c r="H86" s="13" t="n">
        <v>2000</v>
      </c>
      <c r="I86" s="14" t="n">
        <v>1600</v>
      </c>
      <c r="J86" s="14" t="n">
        <f aca="false">E86*I86</f>
        <v>160000</v>
      </c>
      <c r="K86" s="15" t="n">
        <f aca="false">H86*80%</f>
        <v>1600</v>
      </c>
    </row>
    <row r="87" customFormat="false" ht="52.2" hidden="false" customHeight="false" outlineLevel="0" collapsed="false">
      <c r="A87" s="11" t="n">
        <v>86</v>
      </c>
      <c r="B87" s="12" t="s">
        <v>182</v>
      </c>
      <c r="C87" s="12" t="s">
        <v>183</v>
      </c>
      <c r="D87" s="11" t="s">
        <v>166</v>
      </c>
      <c r="E87" s="13" t="n">
        <v>300</v>
      </c>
      <c r="F87" s="13" t="s">
        <v>39</v>
      </c>
      <c r="G87" s="13" t="s">
        <v>14</v>
      </c>
      <c r="H87" s="13" t="n">
        <v>2000</v>
      </c>
      <c r="I87" s="14" t="n">
        <v>1600</v>
      </c>
      <c r="J87" s="14" t="n">
        <f aca="false">E87*I87</f>
        <v>480000</v>
      </c>
      <c r="K87" s="15" t="n">
        <f aca="false">H87*80%</f>
        <v>1600</v>
      </c>
    </row>
    <row r="88" customFormat="false" ht="52.2" hidden="false" customHeight="false" outlineLevel="0" collapsed="false">
      <c r="A88" s="11" t="n">
        <v>87</v>
      </c>
      <c r="B88" s="12" t="s">
        <v>184</v>
      </c>
      <c r="C88" s="12" t="s">
        <v>183</v>
      </c>
      <c r="D88" s="11" t="s">
        <v>166</v>
      </c>
      <c r="E88" s="13" t="n">
        <v>300</v>
      </c>
      <c r="F88" s="13" t="s">
        <v>39</v>
      </c>
      <c r="G88" s="13" t="s">
        <v>14</v>
      </c>
      <c r="H88" s="13" t="n">
        <v>2000</v>
      </c>
      <c r="I88" s="14" t="n">
        <v>1600</v>
      </c>
      <c r="J88" s="14" t="n">
        <f aca="false">E88*I88</f>
        <v>480000</v>
      </c>
      <c r="K88" s="15" t="n">
        <f aca="false">H88*80%</f>
        <v>1600</v>
      </c>
    </row>
    <row r="89" customFormat="false" ht="52.2" hidden="false" customHeight="false" outlineLevel="0" collapsed="false">
      <c r="A89" s="11" t="n">
        <v>88</v>
      </c>
      <c r="B89" s="12" t="s">
        <v>185</v>
      </c>
      <c r="C89" s="12" t="s">
        <v>183</v>
      </c>
      <c r="D89" s="11" t="s">
        <v>166</v>
      </c>
      <c r="E89" s="13" t="n">
        <v>100</v>
      </c>
      <c r="F89" s="13" t="s">
        <v>39</v>
      </c>
      <c r="G89" s="13" t="s">
        <v>14</v>
      </c>
      <c r="H89" s="13" t="n">
        <v>2000</v>
      </c>
      <c r="I89" s="14" t="n">
        <v>1600</v>
      </c>
      <c r="J89" s="14" t="n">
        <f aca="false">E89*I89</f>
        <v>160000</v>
      </c>
      <c r="K89" s="15" t="n">
        <f aca="false">H89*80%</f>
        <v>1600</v>
      </c>
    </row>
    <row r="90" s="20" customFormat="true" ht="52.2" hidden="false" customHeight="false" outlineLevel="0" collapsed="false">
      <c r="A90" s="11" t="n">
        <v>89</v>
      </c>
      <c r="B90" s="18" t="s">
        <v>186</v>
      </c>
      <c r="C90" s="18" t="s">
        <v>183</v>
      </c>
      <c r="D90" s="11" t="s">
        <v>166</v>
      </c>
      <c r="E90" s="19" t="n">
        <v>200</v>
      </c>
      <c r="F90" s="13" t="s">
        <v>39</v>
      </c>
      <c r="G90" s="13" t="s">
        <v>14</v>
      </c>
      <c r="H90" s="13" t="n">
        <v>2000</v>
      </c>
      <c r="I90" s="14" t="n">
        <v>1600</v>
      </c>
      <c r="J90" s="14" t="n">
        <f aca="false">E90*I90</f>
        <v>320000</v>
      </c>
      <c r="K90" s="15" t="n">
        <f aca="false">H90*80%</f>
        <v>1600</v>
      </c>
      <c r="L90" s="0"/>
    </row>
    <row r="91" s="20" customFormat="true" ht="52.2" hidden="false" customHeight="false" outlineLevel="0" collapsed="false">
      <c r="A91" s="11" t="n">
        <v>90</v>
      </c>
      <c r="B91" s="18" t="s">
        <v>187</v>
      </c>
      <c r="C91" s="18" t="s">
        <v>183</v>
      </c>
      <c r="D91" s="11" t="s">
        <v>166</v>
      </c>
      <c r="E91" s="19" t="n">
        <v>200</v>
      </c>
      <c r="F91" s="19" t="s">
        <v>39</v>
      </c>
      <c r="G91" s="13" t="s">
        <v>14</v>
      </c>
      <c r="H91" s="13" t="n">
        <v>2000</v>
      </c>
      <c r="I91" s="14" t="n">
        <v>1600</v>
      </c>
      <c r="J91" s="14" t="n">
        <f aca="false">E91*I91</f>
        <v>320000</v>
      </c>
      <c r="K91" s="15" t="n">
        <f aca="false">H91*80%</f>
        <v>1600</v>
      </c>
      <c r="L91" s="0"/>
    </row>
    <row r="92" s="20" customFormat="true" ht="52.2" hidden="false" customHeight="false" outlineLevel="0" collapsed="false">
      <c r="A92" s="11" t="n">
        <v>91</v>
      </c>
      <c r="B92" s="18" t="s">
        <v>188</v>
      </c>
      <c r="C92" s="18" t="s">
        <v>183</v>
      </c>
      <c r="D92" s="11" t="s">
        <v>166</v>
      </c>
      <c r="E92" s="19" t="n">
        <v>200</v>
      </c>
      <c r="F92" s="19" t="s">
        <v>39</v>
      </c>
      <c r="G92" s="13" t="s">
        <v>14</v>
      </c>
      <c r="H92" s="13" t="n">
        <v>2000</v>
      </c>
      <c r="I92" s="14" t="n">
        <v>1600</v>
      </c>
      <c r="J92" s="14" t="n">
        <f aca="false">E92*I92</f>
        <v>320000</v>
      </c>
      <c r="K92" s="15" t="n">
        <f aca="false">H92*80%</f>
        <v>1600</v>
      </c>
      <c r="L92" s="0"/>
    </row>
    <row r="93" s="20" customFormat="true" ht="217.15" hidden="false" customHeight="false" outlineLevel="0" collapsed="false">
      <c r="A93" s="11" t="n">
        <v>92</v>
      </c>
      <c r="B93" s="26" t="s">
        <v>189</v>
      </c>
      <c r="C93" s="12" t="s">
        <v>190</v>
      </c>
      <c r="D93" s="22" t="s">
        <v>166</v>
      </c>
      <c r="E93" s="19" t="n">
        <v>20</v>
      </c>
      <c r="F93" s="19" t="s">
        <v>39</v>
      </c>
      <c r="G93" s="13" t="s">
        <v>14</v>
      </c>
      <c r="H93" s="19" t="n">
        <v>11000</v>
      </c>
      <c r="I93" s="14" t="n">
        <v>8800</v>
      </c>
      <c r="J93" s="14" t="n">
        <f aca="false">E93*I93</f>
        <v>176000</v>
      </c>
      <c r="K93" s="15" t="n">
        <f aca="false">H93*80%</f>
        <v>8800</v>
      </c>
      <c r="L93" s="0"/>
    </row>
    <row r="94" s="20" customFormat="true" ht="128.35" hidden="false" customHeight="false" outlineLevel="0" collapsed="false">
      <c r="A94" s="11" t="n">
        <v>93</v>
      </c>
      <c r="B94" s="26" t="s">
        <v>191</v>
      </c>
      <c r="C94" s="18" t="s">
        <v>192</v>
      </c>
      <c r="D94" s="22" t="s">
        <v>166</v>
      </c>
      <c r="E94" s="19" t="n">
        <v>25</v>
      </c>
      <c r="F94" s="19" t="s">
        <v>39</v>
      </c>
      <c r="G94" s="13" t="s">
        <v>14</v>
      </c>
      <c r="H94" s="19" t="n">
        <v>7000</v>
      </c>
      <c r="I94" s="14" t="n">
        <v>5600</v>
      </c>
      <c r="J94" s="14" t="n">
        <f aca="false">E94*I94</f>
        <v>140000</v>
      </c>
      <c r="K94" s="15" t="n">
        <f aca="false">H94*80%</f>
        <v>5600</v>
      </c>
      <c r="L94" s="0"/>
    </row>
    <row r="95" s="20" customFormat="true" ht="77.6" hidden="false" customHeight="false" outlineLevel="0" collapsed="false">
      <c r="A95" s="11" t="n">
        <v>94</v>
      </c>
      <c r="B95" s="26" t="s">
        <v>193</v>
      </c>
      <c r="C95" s="18" t="s">
        <v>194</v>
      </c>
      <c r="D95" s="22" t="s">
        <v>166</v>
      </c>
      <c r="E95" s="19" t="n">
        <v>25</v>
      </c>
      <c r="F95" s="19" t="s">
        <v>39</v>
      </c>
      <c r="G95" s="13" t="s">
        <v>14</v>
      </c>
      <c r="H95" s="19" t="n">
        <v>9000</v>
      </c>
      <c r="I95" s="14" t="n">
        <v>7200</v>
      </c>
      <c r="J95" s="14" t="n">
        <f aca="false">E95*I95</f>
        <v>180000</v>
      </c>
      <c r="K95" s="15" t="n">
        <f aca="false">H95*80%</f>
        <v>7200</v>
      </c>
      <c r="L95" s="0"/>
    </row>
    <row r="96" s="20" customFormat="true" ht="77.6" hidden="false" customHeight="false" outlineLevel="0" collapsed="false">
      <c r="A96" s="11" t="n">
        <v>95</v>
      </c>
      <c r="B96" s="18" t="s">
        <v>195</v>
      </c>
      <c r="C96" s="18" t="s">
        <v>196</v>
      </c>
      <c r="D96" s="22" t="s">
        <v>166</v>
      </c>
      <c r="E96" s="19" t="n">
        <v>50</v>
      </c>
      <c r="F96" s="19" t="s">
        <v>39</v>
      </c>
      <c r="G96" s="13" t="s">
        <v>58</v>
      </c>
      <c r="H96" s="19" t="n">
        <v>4000</v>
      </c>
      <c r="I96" s="14" t="n">
        <v>3200</v>
      </c>
      <c r="J96" s="14" t="n">
        <f aca="false">E96*I96</f>
        <v>160000</v>
      </c>
      <c r="K96" s="15" t="n">
        <f aca="false">H96*80%</f>
        <v>3200</v>
      </c>
      <c r="L96" s="0"/>
    </row>
    <row r="97" customFormat="false" ht="141.75" hidden="false" customHeight="true" outlineLevel="0" collapsed="false">
      <c r="A97" s="11" t="n">
        <v>96</v>
      </c>
      <c r="B97" s="12" t="s">
        <v>197</v>
      </c>
      <c r="C97" s="12" t="s">
        <v>198</v>
      </c>
      <c r="D97" s="11" t="s">
        <v>166</v>
      </c>
      <c r="E97" s="13" t="n">
        <v>20</v>
      </c>
      <c r="F97" s="13" t="s">
        <v>39</v>
      </c>
      <c r="G97" s="13" t="s">
        <v>14</v>
      </c>
      <c r="H97" s="13" t="n">
        <v>5000</v>
      </c>
      <c r="I97" s="14" t="n">
        <v>4000</v>
      </c>
      <c r="J97" s="14" t="n">
        <f aca="false">E97*I97</f>
        <v>80000</v>
      </c>
      <c r="K97" s="15" t="n">
        <f aca="false">H97*80%</f>
        <v>4000</v>
      </c>
    </row>
    <row r="98" s="20" customFormat="true" ht="115.65" hidden="false" customHeight="false" outlineLevel="0" collapsed="false">
      <c r="A98" s="11" t="n">
        <v>97</v>
      </c>
      <c r="B98" s="26" t="s">
        <v>199</v>
      </c>
      <c r="C98" s="12" t="s">
        <v>200</v>
      </c>
      <c r="D98" s="22" t="s">
        <v>166</v>
      </c>
      <c r="E98" s="19" t="n">
        <v>50</v>
      </c>
      <c r="F98" s="19" t="s">
        <v>39</v>
      </c>
      <c r="G98" s="13" t="s">
        <v>14</v>
      </c>
      <c r="H98" s="19" t="n">
        <v>1000</v>
      </c>
      <c r="I98" s="14" t="n">
        <v>1000</v>
      </c>
      <c r="J98" s="14" t="n">
        <f aca="false">E98*I98</f>
        <v>50000</v>
      </c>
      <c r="K98" s="15" t="n">
        <f aca="false">H98*80%</f>
        <v>800</v>
      </c>
      <c r="L98" s="0"/>
    </row>
    <row r="99" s="20" customFormat="true" ht="153.7" hidden="false" customHeight="false" outlineLevel="0" collapsed="false">
      <c r="A99" s="11" t="n">
        <v>98</v>
      </c>
      <c r="B99" s="26" t="s">
        <v>201</v>
      </c>
      <c r="C99" s="12" t="s">
        <v>202</v>
      </c>
      <c r="D99" s="22" t="s">
        <v>166</v>
      </c>
      <c r="E99" s="19" t="n">
        <v>50</v>
      </c>
      <c r="F99" s="19" t="s">
        <v>39</v>
      </c>
      <c r="G99" s="13" t="s">
        <v>14</v>
      </c>
      <c r="H99" s="19" t="n">
        <v>1000</v>
      </c>
      <c r="I99" s="14" t="n">
        <v>1000</v>
      </c>
      <c r="J99" s="14" t="n">
        <f aca="false">E99*I99</f>
        <v>50000</v>
      </c>
      <c r="K99" s="15" t="n">
        <f aca="false">H99*80%</f>
        <v>800</v>
      </c>
      <c r="L99" s="0"/>
    </row>
    <row r="100" customFormat="false" ht="102.95" hidden="false" customHeight="false" outlineLevel="0" collapsed="false">
      <c r="A100" s="11" t="n">
        <v>99</v>
      </c>
      <c r="B100" s="12" t="s">
        <v>203</v>
      </c>
      <c r="C100" s="12" t="s">
        <v>204</v>
      </c>
      <c r="D100" s="11" t="s">
        <v>166</v>
      </c>
      <c r="E100" s="13" t="n">
        <v>100</v>
      </c>
      <c r="F100" s="13" t="s">
        <v>39</v>
      </c>
      <c r="G100" s="13" t="s">
        <v>14</v>
      </c>
      <c r="H100" s="13" t="n">
        <v>1000</v>
      </c>
      <c r="I100" s="14" t="n">
        <v>1000</v>
      </c>
      <c r="J100" s="14" t="n">
        <f aca="false">E100*I100</f>
        <v>100000</v>
      </c>
      <c r="K100" s="15" t="n">
        <f aca="false">H100*80%</f>
        <v>800</v>
      </c>
    </row>
    <row r="101" customFormat="false" ht="64.9" hidden="false" customHeight="false" outlineLevel="0" collapsed="false">
      <c r="A101" s="11" t="n">
        <v>100</v>
      </c>
      <c r="B101" s="12" t="s">
        <v>205</v>
      </c>
      <c r="C101" s="12" t="s">
        <v>206</v>
      </c>
      <c r="D101" s="11" t="s">
        <v>48</v>
      </c>
      <c r="E101" s="13" t="n">
        <v>20</v>
      </c>
      <c r="F101" s="13" t="s">
        <v>39</v>
      </c>
      <c r="G101" s="13" t="s">
        <v>14</v>
      </c>
      <c r="H101" s="13" t="n">
        <v>111000</v>
      </c>
      <c r="I101" s="14" t="n">
        <v>88800</v>
      </c>
      <c r="J101" s="14" t="n">
        <f aca="false">E101*I101</f>
        <v>1776000</v>
      </c>
      <c r="K101" s="15" t="n">
        <f aca="false">H101*80%</f>
        <v>88800</v>
      </c>
    </row>
    <row r="102" customFormat="false" ht="39.55" hidden="false" customHeight="false" outlineLevel="0" collapsed="false">
      <c r="A102" s="11" t="n">
        <v>101</v>
      </c>
      <c r="B102" s="12" t="s">
        <v>207</v>
      </c>
      <c r="C102" s="12" t="s">
        <v>208</v>
      </c>
      <c r="D102" s="11" t="s">
        <v>48</v>
      </c>
      <c r="E102" s="13" t="n">
        <v>46</v>
      </c>
      <c r="F102" s="13" t="s">
        <v>51</v>
      </c>
      <c r="G102" s="13" t="s">
        <v>14</v>
      </c>
      <c r="H102" s="13" t="n">
        <v>45000</v>
      </c>
      <c r="I102" s="14" t="n">
        <v>42000</v>
      </c>
      <c r="J102" s="14" t="n">
        <f aca="false">E102*I102</f>
        <v>1932000</v>
      </c>
      <c r="K102" s="15" t="n">
        <f aca="false">H102*80%</f>
        <v>36000</v>
      </c>
    </row>
    <row r="103" s="20" customFormat="true" ht="15.75" hidden="false" customHeight="false" outlineLevel="0" collapsed="false">
      <c r="A103" s="11" t="n">
        <v>102</v>
      </c>
      <c r="B103" s="29" t="s">
        <v>209</v>
      </c>
      <c r="C103" s="30"/>
      <c r="D103" s="22" t="s">
        <v>210</v>
      </c>
      <c r="E103" s="19" t="n">
        <v>1</v>
      </c>
      <c r="F103" s="19" t="s">
        <v>39</v>
      </c>
      <c r="G103" s="13" t="s">
        <v>14</v>
      </c>
      <c r="H103" s="19" t="n">
        <v>20000</v>
      </c>
      <c r="I103" s="14" t="n">
        <v>90000</v>
      </c>
      <c r="J103" s="14" t="n">
        <f aca="false">E103*I103</f>
        <v>90000</v>
      </c>
      <c r="K103" s="15" t="n">
        <f aca="false">H103*80%</f>
        <v>16000</v>
      </c>
      <c r="L103" s="0"/>
    </row>
    <row r="104" customFormat="false" ht="15" hidden="false" customHeight="true" outlineLevel="0" collapsed="false">
      <c r="A104" s="11" t="n">
        <v>103</v>
      </c>
      <c r="B104" s="12" t="s">
        <v>211</v>
      </c>
      <c r="C104" s="12"/>
      <c r="D104" s="22" t="s">
        <v>210</v>
      </c>
      <c r="E104" s="13" t="n">
        <v>1</v>
      </c>
      <c r="F104" s="13" t="s">
        <v>39</v>
      </c>
      <c r="G104" s="13" t="s">
        <v>14</v>
      </c>
      <c r="H104" s="13" t="n">
        <v>30000</v>
      </c>
      <c r="I104" s="14" t="n">
        <v>300000</v>
      </c>
      <c r="J104" s="14" t="n">
        <f aca="false">E104*I104</f>
        <v>300000</v>
      </c>
      <c r="K104" s="15" t="n">
        <f aca="false">H104*80%</f>
        <v>24000</v>
      </c>
    </row>
    <row r="105" customFormat="false" ht="50.25" hidden="false" customHeight="true" outlineLevel="0" collapsed="false">
      <c r="A105" s="11" t="n">
        <v>104</v>
      </c>
      <c r="B105" s="12" t="s">
        <v>212</v>
      </c>
      <c r="C105" s="12" t="s">
        <v>213</v>
      </c>
      <c r="D105" s="11" t="s">
        <v>48</v>
      </c>
      <c r="E105" s="13" t="n">
        <v>250</v>
      </c>
      <c r="F105" s="13" t="s">
        <v>51</v>
      </c>
      <c r="G105" s="13" t="s">
        <v>14</v>
      </c>
      <c r="H105" s="13" t="n">
        <v>50000</v>
      </c>
      <c r="I105" s="14" t="n">
        <v>40000</v>
      </c>
      <c r="J105" s="14" t="n">
        <f aca="false">E105*I105</f>
        <v>10000000</v>
      </c>
      <c r="K105" s="15" t="n">
        <f aca="false">H105*80%</f>
        <v>40000</v>
      </c>
    </row>
    <row r="106" customFormat="false" ht="93.75" hidden="false" customHeight="true" outlineLevel="0" collapsed="false">
      <c r="A106" s="11" t="n">
        <v>105</v>
      </c>
      <c r="B106" s="18" t="s">
        <v>214</v>
      </c>
      <c r="C106" s="12" t="s">
        <v>215</v>
      </c>
      <c r="D106" s="11" t="s">
        <v>46</v>
      </c>
      <c r="E106" s="13" t="n">
        <v>50</v>
      </c>
      <c r="F106" s="13" t="s">
        <v>39</v>
      </c>
      <c r="G106" s="13" t="s">
        <v>58</v>
      </c>
      <c r="H106" s="13" t="n">
        <v>110001</v>
      </c>
      <c r="I106" s="14" t="n">
        <v>10000</v>
      </c>
      <c r="J106" s="14" t="n">
        <f aca="false">E106*I106</f>
        <v>500000</v>
      </c>
      <c r="K106" s="15" t="n">
        <f aca="false">H106*80%</f>
        <v>88000.8</v>
      </c>
    </row>
    <row r="107" customFormat="false" ht="141" hidden="false" customHeight="false" outlineLevel="0" collapsed="false">
      <c r="A107" s="11" t="n">
        <v>106</v>
      </c>
      <c r="B107" s="12" t="s">
        <v>216</v>
      </c>
      <c r="C107" s="12" t="s">
        <v>217</v>
      </c>
      <c r="D107" s="11" t="s">
        <v>48</v>
      </c>
      <c r="E107" s="13" t="n">
        <v>300</v>
      </c>
      <c r="F107" s="13" t="s">
        <v>39</v>
      </c>
      <c r="G107" s="13" t="s">
        <v>14</v>
      </c>
      <c r="H107" s="13" t="n">
        <v>7000</v>
      </c>
      <c r="I107" s="14" t="n">
        <v>5600</v>
      </c>
      <c r="J107" s="14" t="n">
        <f aca="false">E107*I107</f>
        <v>1680000</v>
      </c>
      <c r="K107" s="15" t="n">
        <f aca="false">H107*80%</f>
        <v>5600</v>
      </c>
    </row>
    <row r="108" customFormat="false" ht="191.75" hidden="false" customHeight="false" outlineLevel="0" collapsed="false">
      <c r="A108" s="11" t="n">
        <v>107</v>
      </c>
      <c r="B108" s="12" t="s">
        <v>218</v>
      </c>
      <c r="C108" s="12" t="s">
        <v>219</v>
      </c>
      <c r="D108" s="11" t="s">
        <v>48</v>
      </c>
      <c r="E108" s="13" t="n">
        <v>600</v>
      </c>
      <c r="F108" s="13" t="s">
        <v>220</v>
      </c>
      <c r="G108" s="13" t="s">
        <v>58</v>
      </c>
      <c r="H108" s="13" t="n">
        <v>6500</v>
      </c>
      <c r="I108" s="14" t="n">
        <v>5200</v>
      </c>
      <c r="J108" s="14" t="n">
        <f aca="false">E108*I108</f>
        <v>3120000</v>
      </c>
      <c r="K108" s="15" t="n">
        <f aca="false">H108*80%</f>
        <v>5200</v>
      </c>
    </row>
    <row r="109" customFormat="false" ht="39.55" hidden="false" customHeight="false" outlineLevel="0" collapsed="false">
      <c r="A109" s="11" t="n">
        <v>108</v>
      </c>
      <c r="B109" s="12" t="s">
        <v>221</v>
      </c>
      <c r="C109" s="12"/>
      <c r="D109" s="11" t="s">
        <v>48</v>
      </c>
      <c r="E109" s="13" t="n">
        <v>450</v>
      </c>
      <c r="F109" s="13" t="s">
        <v>39</v>
      </c>
      <c r="G109" s="13" t="s">
        <v>14</v>
      </c>
      <c r="H109" s="13" t="n">
        <v>10000</v>
      </c>
      <c r="I109" s="14" t="n">
        <v>10000</v>
      </c>
      <c r="J109" s="14" t="n">
        <f aca="false">E109*I109</f>
        <v>4500000</v>
      </c>
      <c r="K109" s="15" t="n">
        <f aca="false">H109*80%</f>
        <v>8000</v>
      </c>
    </row>
    <row r="110" customFormat="false" ht="15.75" hidden="false" customHeight="false" outlineLevel="0" collapsed="false">
      <c r="A110" s="11" t="n">
        <v>109</v>
      </c>
      <c r="B110" s="12" t="s">
        <v>222</v>
      </c>
      <c r="C110" s="12"/>
      <c r="D110" s="11" t="s">
        <v>48</v>
      </c>
      <c r="E110" s="13" t="n">
        <v>250</v>
      </c>
      <c r="F110" s="13" t="s">
        <v>39</v>
      </c>
      <c r="G110" s="13" t="s">
        <v>14</v>
      </c>
      <c r="H110" s="13" t="n">
        <v>6000</v>
      </c>
      <c r="I110" s="14" t="n">
        <v>4800</v>
      </c>
      <c r="J110" s="14" t="n">
        <f aca="false">E110*I110</f>
        <v>1200000</v>
      </c>
      <c r="K110" s="15" t="n">
        <f aca="false">H110*80%</f>
        <v>4800</v>
      </c>
    </row>
    <row r="111" customFormat="false" ht="77.6" hidden="false" customHeight="false" outlineLevel="0" collapsed="false">
      <c r="A111" s="11" t="n">
        <v>110</v>
      </c>
      <c r="B111" s="12" t="s">
        <v>223</v>
      </c>
      <c r="C111" s="12" t="s">
        <v>224</v>
      </c>
      <c r="D111" s="11" t="s">
        <v>48</v>
      </c>
      <c r="E111" s="13" t="n">
        <v>300</v>
      </c>
      <c r="F111" s="13" t="s">
        <v>39</v>
      </c>
      <c r="G111" s="13" t="s">
        <v>52</v>
      </c>
      <c r="H111" s="13" t="n">
        <v>13000</v>
      </c>
      <c r="I111" s="14" t="n">
        <v>10400</v>
      </c>
      <c r="J111" s="14" t="n">
        <f aca="false">E111*I111</f>
        <v>3120000</v>
      </c>
      <c r="K111" s="15" t="n">
        <f aca="false">H111*80%</f>
        <v>10400</v>
      </c>
    </row>
    <row r="112" customFormat="false" ht="52.2" hidden="false" customHeight="false" outlineLevel="0" collapsed="false">
      <c r="A112" s="11" t="n">
        <v>111</v>
      </c>
      <c r="B112" s="12" t="s">
        <v>225</v>
      </c>
      <c r="C112" s="12" t="s">
        <v>226</v>
      </c>
      <c r="D112" s="11" t="s">
        <v>227</v>
      </c>
      <c r="E112" s="13" t="n">
        <v>80</v>
      </c>
      <c r="F112" s="13" t="s">
        <v>39</v>
      </c>
      <c r="G112" s="13" t="s">
        <v>58</v>
      </c>
      <c r="H112" s="13" t="n">
        <v>42000</v>
      </c>
      <c r="I112" s="14" t="n">
        <v>33600</v>
      </c>
      <c r="J112" s="14" t="n">
        <f aca="false">E112*I112</f>
        <v>2688000</v>
      </c>
      <c r="K112" s="15" t="n">
        <f aca="false">H112*80%</f>
        <v>33600</v>
      </c>
    </row>
    <row r="113" customFormat="false" ht="39.55" hidden="false" customHeight="false" outlineLevel="0" collapsed="false">
      <c r="A113" s="11" t="n">
        <v>112</v>
      </c>
      <c r="B113" s="12" t="s">
        <v>228</v>
      </c>
      <c r="C113" s="12" t="s">
        <v>229</v>
      </c>
      <c r="D113" s="11" t="s">
        <v>48</v>
      </c>
      <c r="E113" s="13" t="n">
        <v>30</v>
      </c>
      <c r="F113" s="13" t="s">
        <v>230</v>
      </c>
      <c r="G113" s="13" t="s">
        <v>113</v>
      </c>
      <c r="H113" s="13" t="n">
        <v>81000</v>
      </c>
      <c r="I113" s="14" t="n">
        <v>64800</v>
      </c>
      <c r="J113" s="14" t="n">
        <f aca="false">E113*I113</f>
        <v>1944000</v>
      </c>
      <c r="K113" s="15" t="n">
        <f aca="false">H113*80%</f>
        <v>64800</v>
      </c>
    </row>
    <row r="114" s="20" customFormat="true" ht="39.55" hidden="false" customHeight="false" outlineLevel="0" collapsed="false">
      <c r="A114" s="11" t="n">
        <v>113</v>
      </c>
      <c r="B114" s="26" t="s">
        <v>231</v>
      </c>
      <c r="C114" s="18" t="s">
        <v>232</v>
      </c>
      <c r="D114" s="22" t="s">
        <v>48</v>
      </c>
      <c r="E114" s="19" t="n">
        <v>20</v>
      </c>
      <c r="F114" s="19" t="s">
        <v>121</v>
      </c>
      <c r="G114" s="13" t="s">
        <v>113</v>
      </c>
      <c r="H114" s="19" t="n">
        <v>102000</v>
      </c>
      <c r="I114" s="14" t="n">
        <v>125000</v>
      </c>
      <c r="J114" s="14" t="n">
        <f aca="false">E114*I114</f>
        <v>2500000</v>
      </c>
      <c r="K114" s="15" t="n">
        <f aca="false">H114*80%</f>
        <v>81600</v>
      </c>
      <c r="L114" s="0"/>
    </row>
    <row r="115" s="20" customFormat="true" ht="217.15" hidden="false" customHeight="false" outlineLevel="0" collapsed="false">
      <c r="A115" s="11" t="n">
        <v>114</v>
      </c>
      <c r="B115" s="18" t="s">
        <v>233</v>
      </c>
      <c r="C115" s="18" t="s">
        <v>234</v>
      </c>
      <c r="D115" s="22" t="s">
        <v>46</v>
      </c>
      <c r="E115" s="19" t="n">
        <v>10</v>
      </c>
      <c r="F115" s="19" t="s">
        <v>96</v>
      </c>
      <c r="G115" s="13" t="s">
        <v>113</v>
      </c>
      <c r="H115" s="19" t="n">
        <v>43000</v>
      </c>
      <c r="I115" s="14" t="n">
        <v>35000</v>
      </c>
      <c r="J115" s="14" t="n">
        <f aca="false">E115*I115</f>
        <v>350000</v>
      </c>
      <c r="K115" s="15" t="n">
        <f aca="false">H115*80%</f>
        <v>34400</v>
      </c>
      <c r="L115" s="0"/>
    </row>
    <row r="116" customFormat="false" ht="153.7" hidden="false" customHeight="false" outlineLevel="0" collapsed="false">
      <c r="A116" s="11" t="n">
        <v>115</v>
      </c>
      <c r="B116" s="12" t="s">
        <v>235</v>
      </c>
      <c r="C116" s="12" t="s">
        <v>236</v>
      </c>
      <c r="D116" s="11" t="s">
        <v>48</v>
      </c>
      <c r="E116" s="13" t="n">
        <v>95</v>
      </c>
      <c r="F116" s="13" t="s">
        <v>51</v>
      </c>
      <c r="G116" s="13" t="s">
        <v>52</v>
      </c>
      <c r="H116" s="13" t="n">
        <v>165000</v>
      </c>
      <c r="I116" s="14" t="n">
        <v>132000</v>
      </c>
      <c r="J116" s="14" t="n">
        <f aca="false">E116*I116</f>
        <v>12540000</v>
      </c>
      <c r="K116" s="15" t="n">
        <f aca="false">H116*80%</f>
        <v>132000</v>
      </c>
    </row>
    <row r="117" customFormat="false" ht="64.9" hidden="false" customHeight="false" outlineLevel="0" collapsed="false">
      <c r="A117" s="11" t="n">
        <v>116</v>
      </c>
      <c r="B117" s="12" t="s">
        <v>237</v>
      </c>
      <c r="C117" s="12" t="s">
        <v>238</v>
      </c>
      <c r="D117" s="11" t="s">
        <v>48</v>
      </c>
      <c r="E117" s="13" t="n">
        <v>30</v>
      </c>
      <c r="F117" s="13" t="s">
        <v>96</v>
      </c>
      <c r="G117" s="13" t="s">
        <v>113</v>
      </c>
      <c r="H117" s="13" t="n">
        <v>95000</v>
      </c>
      <c r="I117" s="14" t="n">
        <v>76000</v>
      </c>
      <c r="J117" s="14" t="n">
        <f aca="false">E117*I117</f>
        <v>2280000</v>
      </c>
      <c r="K117" s="15" t="n">
        <f aca="false">H117*80%</f>
        <v>76000</v>
      </c>
    </row>
    <row r="118" customFormat="false" ht="115.65" hidden="false" customHeight="false" outlineLevel="0" collapsed="false">
      <c r="A118" s="11" t="n">
        <v>117</v>
      </c>
      <c r="B118" s="12" t="s">
        <v>239</v>
      </c>
      <c r="C118" s="12" t="s">
        <v>240</v>
      </c>
      <c r="D118" s="11" t="s">
        <v>48</v>
      </c>
      <c r="E118" s="13" t="n">
        <v>10</v>
      </c>
      <c r="F118" s="13" t="s">
        <v>51</v>
      </c>
      <c r="G118" s="13" t="s">
        <v>52</v>
      </c>
      <c r="H118" s="13" t="n">
        <v>165000</v>
      </c>
      <c r="I118" s="14" t="n">
        <v>250000</v>
      </c>
      <c r="J118" s="14" t="n">
        <f aca="false">E118*I118</f>
        <v>2500000</v>
      </c>
      <c r="K118" s="15" t="n">
        <f aca="false">H118*80%</f>
        <v>132000</v>
      </c>
    </row>
    <row r="119" customFormat="false" ht="26.85" hidden="false" customHeight="false" outlineLevel="0" collapsed="false">
      <c r="A119" s="11" t="n">
        <v>118</v>
      </c>
      <c r="B119" s="12" t="s">
        <v>241</v>
      </c>
      <c r="C119" s="12" t="s">
        <v>241</v>
      </c>
      <c r="D119" s="11" t="s">
        <v>118</v>
      </c>
      <c r="E119" s="13" t="n">
        <v>30</v>
      </c>
      <c r="F119" s="13" t="s">
        <v>62</v>
      </c>
      <c r="G119" s="13" t="s">
        <v>58</v>
      </c>
      <c r="H119" s="13" t="n">
        <v>53000</v>
      </c>
      <c r="I119" s="14" t="n">
        <v>42400</v>
      </c>
      <c r="J119" s="14" t="n">
        <f aca="false">E119*I119</f>
        <v>1272000</v>
      </c>
      <c r="K119" s="15" t="n">
        <f aca="false">H119*80%</f>
        <v>42400</v>
      </c>
    </row>
    <row r="120" customFormat="false" ht="52.2" hidden="false" customHeight="false" outlineLevel="0" collapsed="false">
      <c r="A120" s="11" t="n">
        <v>119</v>
      </c>
      <c r="B120" s="12" t="s">
        <v>242</v>
      </c>
      <c r="C120" s="12" t="s">
        <v>243</v>
      </c>
      <c r="D120" s="11" t="s">
        <v>48</v>
      </c>
      <c r="E120" s="13" t="n">
        <v>40</v>
      </c>
      <c r="F120" s="13" t="s">
        <v>79</v>
      </c>
      <c r="G120" s="13" t="s">
        <v>52</v>
      </c>
      <c r="H120" s="13" t="n">
        <v>315000</v>
      </c>
      <c r="I120" s="14" t="n">
        <v>252000</v>
      </c>
      <c r="J120" s="14" t="n">
        <f aca="false">E120*I120</f>
        <v>10080000</v>
      </c>
      <c r="K120" s="15" t="n">
        <f aca="false">H120*80%</f>
        <v>252000</v>
      </c>
    </row>
    <row r="121" customFormat="false" ht="115.65" hidden="false" customHeight="false" outlineLevel="0" collapsed="false">
      <c r="A121" s="11" t="n">
        <v>120</v>
      </c>
      <c r="B121" s="12" t="s">
        <v>244</v>
      </c>
      <c r="C121" s="12" t="s">
        <v>245</v>
      </c>
      <c r="D121" s="11" t="s">
        <v>48</v>
      </c>
      <c r="E121" s="13" t="n">
        <v>30</v>
      </c>
      <c r="F121" s="13" t="s">
        <v>246</v>
      </c>
      <c r="G121" s="13" t="s">
        <v>14</v>
      </c>
      <c r="H121" s="13" t="n">
        <v>272000</v>
      </c>
      <c r="I121" s="14" t="n">
        <v>275000</v>
      </c>
      <c r="J121" s="14" t="n">
        <f aca="false">E121*I121</f>
        <v>8250000</v>
      </c>
      <c r="K121" s="15" t="n">
        <f aca="false">H121*80%</f>
        <v>217600</v>
      </c>
    </row>
    <row r="122" customFormat="false" ht="102.95" hidden="false" customHeight="false" outlineLevel="0" collapsed="false">
      <c r="A122" s="11" t="n">
        <v>121</v>
      </c>
      <c r="B122" s="12" t="s">
        <v>247</v>
      </c>
      <c r="C122" s="12" t="s">
        <v>248</v>
      </c>
      <c r="D122" s="11" t="s">
        <v>48</v>
      </c>
      <c r="E122" s="13" t="n">
        <v>60</v>
      </c>
      <c r="F122" s="13" t="s">
        <v>246</v>
      </c>
      <c r="G122" s="13" t="s">
        <v>14</v>
      </c>
      <c r="H122" s="13" t="n">
        <v>75000</v>
      </c>
      <c r="I122" s="14" t="n">
        <v>135000</v>
      </c>
      <c r="J122" s="14" t="n">
        <f aca="false">E122*I122</f>
        <v>8100000</v>
      </c>
      <c r="K122" s="15" t="n">
        <f aca="false">H122*80%</f>
        <v>60000</v>
      </c>
    </row>
    <row r="123" s="20" customFormat="true" ht="15.75" hidden="false" customHeight="false" outlineLevel="0" collapsed="false">
      <c r="A123" s="11" t="n">
        <v>122</v>
      </c>
      <c r="B123" s="26" t="s">
        <v>249</v>
      </c>
      <c r="C123" s="18" t="s">
        <v>250</v>
      </c>
      <c r="D123" s="22" t="s">
        <v>48</v>
      </c>
      <c r="E123" s="19" t="n">
        <v>5</v>
      </c>
      <c r="F123" s="19" t="s">
        <v>81</v>
      </c>
      <c r="G123" s="13" t="s">
        <v>36</v>
      </c>
      <c r="H123" s="19" t="n">
        <v>550000</v>
      </c>
      <c r="I123" s="14" t="n">
        <v>490000</v>
      </c>
      <c r="J123" s="14" t="n">
        <f aca="false">E123*I123</f>
        <v>2450000</v>
      </c>
      <c r="K123" s="15" t="n">
        <f aca="false">H123*80%</f>
        <v>440000</v>
      </c>
      <c r="L123" s="0"/>
    </row>
    <row r="124" s="20" customFormat="true" ht="15.75" hidden="false" customHeight="false" outlineLevel="0" collapsed="false">
      <c r="A124" s="11" t="n">
        <v>123</v>
      </c>
      <c r="B124" s="26" t="s">
        <v>251</v>
      </c>
      <c r="C124" s="12" t="s">
        <v>252</v>
      </c>
      <c r="D124" s="22" t="s">
        <v>48</v>
      </c>
      <c r="E124" s="19" t="n">
        <v>10</v>
      </c>
      <c r="F124" s="19" t="s">
        <v>81</v>
      </c>
      <c r="G124" s="13" t="s">
        <v>36</v>
      </c>
      <c r="H124" s="19" t="n">
        <v>180000</v>
      </c>
      <c r="I124" s="14" t="n">
        <v>160000</v>
      </c>
      <c r="J124" s="14" t="n">
        <f aca="false">E124*I124</f>
        <v>1600000</v>
      </c>
      <c r="K124" s="15" t="n">
        <f aca="false">H124*80%</f>
        <v>144000</v>
      </c>
      <c r="L124" s="0"/>
    </row>
    <row r="125" s="20" customFormat="true" ht="191.75" hidden="false" customHeight="false" outlineLevel="0" collapsed="false">
      <c r="A125" s="11" t="n">
        <v>124</v>
      </c>
      <c r="B125" s="31" t="s">
        <v>253</v>
      </c>
      <c r="C125" s="18" t="s">
        <v>254</v>
      </c>
      <c r="D125" s="22" t="s">
        <v>48</v>
      </c>
      <c r="E125" s="19" t="n">
        <v>5</v>
      </c>
      <c r="F125" s="19" t="s">
        <v>81</v>
      </c>
      <c r="G125" s="13" t="s">
        <v>36</v>
      </c>
      <c r="H125" s="19" t="n">
        <v>2325000</v>
      </c>
      <c r="I125" s="14" t="n">
        <v>2100000</v>
      </c>
      <c r="J125" s="14" t="n">
        <f aca="false">E125*I125</f>
        <v>10500000</v>
      </c>
      <c r="K125" s="15" t="n">
        <f aca="false">H125*80%</f>
        <v>1860000</v>
      </c>
      <c r="L125" s="0"/>
    </row>
    <row r="126" customFormat="false" ht="128.35" hidden="false" customHeight="false" outlineLevel="0" collapsed="false">
      <c r="A126" s="11" t="n">
        <v>125</v>
      </c>
      <c r="B126" s="12" t="s">
        <v>255</v>
      </c>
      <c r="C126" s="12" t="s">
        <v>256</v>
      </c>
      <c r="D126" s="11" t="s">
        <v>48</v>
      </c>
      <c r="E126" s="13" t="n">
        <v>10</v>
      </c>
      <c r="F126" s="13" t="s">
        <v>79</v>
      </c>
      <c r="G126" s="13" t="s">
        <v>52</v>
      </c>
      <c r="H126" s="13" t="n">
        <v>375000</v>
      </c>
      <c r="I126" s="14" t="n">
        <v>400000</v>
      </c>
      <c r="J126" s="14" t="n">
        <f aca="false">E126*I126</f>
        <v>4000000</v>
      </c>
      <c r="K126" s="15" t="n">
        <f aca="false">H126*80%</f>
        <v>300000</v>
      </c>
    </row>
    <row r="127" s="20" customFormat="true" ht="39.55" hidden="false" customHeight="false" outlineLevel="0" collapsed="false">
      <c r="A127" s="11" t="n">
        <v>126</v>
      </c>
      <c r="B127" s="12" t="s">
        <v>257</v>
      </c>
      <c r="C127" s="18" t="s">
        <v>258</v>
      </c>
      <c r="D127" s="11" t="s">
        <v>48</v>
      </c>
      <c r="E127" s="19" t="n">
        <v>6</v>
      </c>
      <c r="F127" s="19" t="s">
        <v>81</v>
      </c>
      <c r="G127" s="13" t="s">
        <v>36</v>
      </c>
      <c r="H127" s="19" t="n">
        <v>1320000</v>
      </c>
      <c r="I127" s="14" t="n">
        <v>1056000</v>
      </c>
      <c r="J127" s="14" t="n">
        <f aca="false">E127*I127</f>
        <v>6336000</v>
      </c>
      <c r="K127" s="15" t="n">
        <f aca="false">H127*80%</f>
        <v>1056000</v>
      </c>
      <c r="L127" s="0"/>
    </row>
    <row r="128" s="20" customFormat="true" ht="64.9" hidden="false" customHeight="false" outlineLevel="0" collapsed="false">
      <c r="A128" s="11" t="n">
        <v>127</v>
      </c>
      <c r="B128" s="12" t="s">
        <v>259</v>
      </c>
      <c r="C128" s="18" t="s">
        <v>260</v>
      </c>
      <c r="D128" s="11" t="s">
        <v>48</v>
      </c>
      <c r="E128" s="19" t="n">
        <v>20</v>
      </c>
      <c r="F128" s="19" t="s">
        <v>81</v>
      </c>
      <c r="G128" s="13" t="s">
        <v>36</v>
      </c>
      <c r="H128" s="19" t="n">
        <v>1290000</v>
      </c>
      <c r="I128" s="14" t="n">
        <v>1032000</v>
      </c>
      <c r="J128" s="14" t="n">
        <f aca="false">E128*I128</f>
        <v>20640000</v>
      </c>
      <c r="K128" s="15" t="n">
        <f aca="false">H128*80%</f>
        <v>1032000</v>
      </c>
      <c r="L128" s="0"/>
    </row>
    <row r="129" customFormat="false" ht="102.95" hidden="false" customHeight="false" outlineLevel="0" collapsed="false">
      <c r="A129" s="11" t="n">
        <v>128</v>
      </c>
      <c r="B129" s="12" t="s">
        <v>261</v>
      </c>
      <c r="C129" s="12" t="s">
        <v>262</v>
      </c>
      <c r="D129" s="11" t="s">
        <v>46</v>
      </c>
      <c r="E129" s="13" t="n">
        <v>10</v>
      </c>
      <c r="F129" s="13" t="s">
        <v>263</v>
      </c>
      <c r="G129" s="13" t="s">
        <v>14</v>
      </c>
      <c r="H129" s="13" t="n">
        <v>1320000</v>
      </c>
      <c r="I129" s="14" t="n">
        <v>1056000</v>
      </c>
      <c r="J129" s="14" t="n">
        <f aca="false">E129*I129</f>
        <v>10560000</v>
      </c>
      <c r="K129" s="15" t="n">
        <f aca="false">H129*80%</f>
        <v>1056000</v>
      </c>
    </row>
    <row r="130" customFormat="false" ht="26.85" hidden="false" customHeight="false" outlineLevel="0" collapsed="false">
      <c r="A130" s="11" t="n">
        <v>129</v>
      </c>
      <c r="B130" s="12" t="s">
        <v>264</v>
      </c>
      <c r="C130" s="12" t="s">
        <v>265</v>
      </c>
      <c r="D130" s="11" t="s">
        <v>48</v>
      </c>
      <c r="E130" s="13" t="n">
        <v>10</v>
      </c>
      <c r="F130" s="13" t="s">
        <v>81</v>
      </c>
      <c r="G130" s="13" t="s">
        <v>36</v>
      </c>
      <c r="H130" s="13" t="n">
        <v>700000</v>
      </c>
      <c r="I130" s="14" t="n">
        <v>700000</v>
      </c>
      <c r="J130" s="14" t="n">
        <f aca="false">E130*I130</f>
        <v>7000000</v>
      </c>
      <c r="K130" s="15" t="n">
        <f aca="false">H130*80%</f>
        <v>560000</v>
      </c>
    </row>
    <row r="131" customFormat="false" ht="52.2" hidden="false" customHeight="false" outlineLevel="0" collapsed="false">
      <c r="A131" s="11" t="n">
        <v>130</v>
      </c>
      <c r="B131" s="12" t="s">
        <v>266</v>
      </c>
      <c r="C131" s="12" t="s">
        <v>267</v>
      </c>
      <c r="D131" s="11" t="s">
        <v>48</v>
      </c>
      <c r="E131" s="13" t="n">
        <v>10</v>
      </c>
      <c r="F131" s="13" t="s">
        <v>79</v>
      </c>
      <c r="G131" s="13" t="s">
        <v>52</v>
      </c>
      <c r="H131" s="13" t="n">
        <v>310000</v>
      </c>
      <c r="I131" s="14" t="n">
        <v>350000</v>
      </c>
      <c r="J131" s="14" t="n">
        <f aca="false">E131*I131</f>
        <v>3500000</v>
      </c>
      <c r="K131" s="15" t="n">
        <f aca="false">H131*80%</f>
        <v>248000</v>
      </c>
    </row>
    <row r="132" customFormat="false" ht="128.35" hidden="false" customHeight="false" outlineLevel="0" collapsed="false">
      <c r="A132" s="11" t="n">
        <v>131</v>
      </c>
      <c r="B132" s="12" t="s">
        <v>268</v>
      </c>
      <c r="C132" s="12" t="s">
        <v>269</v>
      </c>
      <c r="D132" s="11" t="s">
        <v>48</v>
      </c>
      <c r="E132" s="13" t="n">
        <v>20</v>
      </c>
      <c r="F132" s="13" t="s">
        <v>79</v>
      </c>
      <c r="G132" s="13" t="s">
        <v>52</v>
      </c>
      <c r="H132" s="13" t="n">
        <v>315000</v>
      </c>
      <c r="I132" s="14" t="n">
        <v>252000</v>
      </c>
      <c r="J132" s="14" t="n">
        <f aca="false">E132*I132</f>
        <v>5040000</v>
      </c>
      <c r="K132" s="15" t="n">
        <f aca="false">H132*80%</f>
        <v>252000</v>
      </c>
    </row>
    <row r="133" customFormat="false" ht="102.95" hidden="false" customHeight="false" outlineLevel="0" collapsed="false">
      <c r="A133" s="11" t="n">
        <v>132</v>
      </c>
      <c r="B133" s="12" t="s">
        <v>270</v>
      </c>
      <c r="C133" s="12" t="s">
        <v>271</v>
      </c>
      <c r="D133" s="11" t="s">
        <v>48</v>
      </c>
      <c r="E133" s="13" t="n">
        <v>10</v>
      </c>
      <c r="F133" s="13" t="s">
        <v>62</v>
      </c>
      <c r="G133" s="13" t="s">
        <v>58</v>
      </c>
      <c r="H133" s="13" t="n">
        <v>85000</v>
      </c>
      <c r="I133" s="14" t="n">
        <v>70000</v>
      </c>
      <c r="J133" s="14" t="n">
        <f aca="false">E133*I133</f>
        <v>700000</v>
      </c>
      <c r="K133" s="15" t="n">
        <f aca="false">H133*80%</f>
        <v>68000</v>
      </c>
    </row>
    <row r="134" customFormat="false" ht="141" hidden="false" customHeight="false" outlineLevel="0" collapsed="false">
      <c r="A134" s="11" t="n">
        <v>133</v>
      </c>
      <c r="B134" s="12" t="s">
        <v>272</v>
      </c>
      <c r="C134" s="12" t="s">
        <v>273</v>
      </c>
      <c r="D134" s="11" t="s">
        <v>48</v>
      </c>
      <c r="E134" s="13" t="n">
        <v>5</v>
      </c>
      <c r="F134" s="13" t="s">
        <v>96</v>
      </c>
      <c r="G134" s="13" t="s">
        <v>58</v>
      </c>
      <c r="H134" s="13" t="n">
        <v>195000</v>
      </c>
      <c r="I134" s="14" t="n">
        <v>185000</v>
      </c>
      <c r="J134" s="14" t="n">
        <f aca="false">E134*I134</f>
        <v>925000</v>
      </c>
      <c r="K134" s="15" t="n">
        <f aca="false">H134*80%</f>
        <v>156000</v>
      </c>
    </row>
    <row r="135" s="20" customFormat="true" ht="26.85" hidden="false" customHeight="false" outlineLevel="0" collapsed="false">
      <c r="A135" s="11" t="n">
        <v>134</v>
      </c>
      <c r="B135" s="12" t="s">
        <v>274</v>
      </c>
      <c r="C135" s="18" t="s">
        <v>265</v>
      </c>
      <c r="D135" s="11" t="s">
        <v>48</v>
      </c>
      <c r="E135" s="19" t="n">
        <v>50</v>
      </c>
      <c r="F135" s="19" t="s">
        <v>81</v>
      </c>
      <c r="G135" s="13" t="s">
        <v>36</v>
      </c>
      <c r="H135" s="19" t="n">
        <v>530000</v>
      </c>
      <c r="I135" s="14" t="n">
        <v>424000</v>
      </c>
      <c r="J135" s="14" t="n">
        <f aca="false">E135*I135</f>
        <v>21200000</v>
      </c>
      <c r="K135" s="15" t="n">
        <f aca="false">H135*80%</f>
        <v>424000</v>
      </c>
      <c r="L135" s="0"/>
    </row>
    <row r="136" customFormat="false" ht="64.9" hidden="false" customHeight="false" outlineLevel="0" collapsed="false">
      <c r="A136" s="11" t="n">
        <v>135</v>
      </c>
      <c r="B136" s="12" t="s">
        <v>275</v>
      </c>
      <c r="C136" s="12" t="s">
        <v>276</v>
      </c>
      <c r="D136" s="11" t="s">
        <v>46</v>
      </c>
      <c r="E136" s="13" t="n">
        <v>20</v>
      </c>
      <c r="F136" s="13" t="s">
        <v>79</v>
      </c>
      <c r="G136" s="13" t="s">
        <v>52</v>
      </c>
      <c r="H136" s="13" t="n">
        <v>535000</v>
      </c>
      <c r="I136" s="14" t="n">
        <v>610000</v>
      </c>
      <c r="J136" s="14" t="n">
        <f aca="false">E136*I136</f>
        <v>12200000</v>
      </c>
      <c r="K136" s="15" t="n">
        <f aca="false">H136*80%</f>
        <v>428000</v>
      </c>
    </row>
    <row r="137" customFormat="false" ht="171" hidden="false" customHeight="true" outlineLevel="0" collapsed="false">
      <c r="A137" s="11" t="n">
        <v>136</v>
      </c>
      <c r="B137" s="12" t="s">
        <v>277</v>
      </c>
      <c r="C137" s="12" t="s">
        <v>278</v>
      </c>
      <c r="D137" s="11" t="s">
        <v>166</v>
      </c>
      <c r="E137" s="13" t="n">
        <v>10</v>
      </c>
      <c r="F137" s="13" t="s">
        <v>79</v>
      </c>
      <c r="G137" s="13" t="s">
        <v>52</v>
      </c>
      <c r="H137" s="13" t="n">
        <v>830000</v>
      </c>
      <c r="I137" s="14" t="n">
        <v>880000</v>
      </c>
      <c r="J137" s="14" t="n">
        <f aca="false">E137*I137</f>
        <v>8800000</v>
      </c>
      <c r="K137" s="15" t="n">
        <f aca="false">H137*80%</f>
        <v>664000</v>
      </c>
    </row>
    <row r="138" customFormat="false" ht="64.9" hidden="false" customHeight="false" outlineLevel="0" collapsed="false">
      <c r="A138" s="11" t="n">
        <v>137</v>
      </c>
      <c r="B138" s="12" t="s">
        <v>279</v>
      </c>
      <c r="C138" s="12" t="s">
        <v>280</v>
      </c>
      <c r="D138" s="11" t="s">
        <v>48</v>
      </c>
      <c r="E138" s="13" t="n">
        <v>10</v>
      </c>
      <c r="F138" s="13" t="s">
        <v>79</v>
      </c>
      <c r="G138" s="13" t="s">
        <v>52</v>
      </c>
      <c r="H138" s="13" t="n">
        <v>315000</v>
      </c>
      <c r="I138" s="14" t="n">
        <v>252000</v>
      </c>
      <c r="J138" s="14" t="n">
        <f aca="false">E138*I138</f>
        <v>2520000</v>
      </c>
      <c r="K138" s="15" t="n">
        <f aca="false">H138*80%</f>
        <v>252000</v>
      </c>
    </row>
    <row r="139" customFormat="false" ht="64.9" hidden="false" customHeight="false" outlineLevel="0" collapsed="false">
      <c r="A139" s="11" t="n">
        <v>138</v>
      </c>
      <c r="B139" s="12" t="s">
        <v>281</v>
      </c>
      <c r="C139" s="12" t="s">
        <v>282</v>
      </c>
      <c r="D139" s="11" t="s">
        <v>48</v>
      </c>
      <c r="E139" s="13" t="n">
        <v>10</v>
      </c>
      <c r="F139" s="13" t="s">
        <v>62</v>
      </c>
      <c r="G139" s="13" t="s">
        <v>58</v>
      </c>
      <c r="H139" s="13" t="n">
        <v>211000</v>
      </c>
      <c r="I139" s="14" t="n">
        <v>168800</v>
      </c>
      <c r="J139" s="14" t="n">
        <f aca="false">E139*I139</f>
        <v>1688000</v>
      </c>
      <c r="K139" s="15" t="n">
        <f aca="false">H139*80%</f>
        <v>168800</v>
      </c>
    </row>
    <row r="140" customFormat="false" ht="77.6" hidden="false" customHeight="false" outlineLevel="0" collapsed="false">
      <c r="A140" s="11" t="n">
        <v>139</v>
      </c>
      <c r="B140" s="12" t="s">
        <v>283</v>
      </c>
      <c r="C140" s="12" t="s">
        <v>284</v>
      </c>
      <c r="D140" s="11" t="s">
        <v>118</v>
      </c>
      <c r="E140" s="13" t="n">
        <v>25</v>
      </c>
      <c r="F140" s="13" t="s">
        <v>96</v>
      </c>
      <c r="G140" s="13" t="s">
        <v>113</v>
      </c>
      <c r="H140" s="13" t="n">
        <v>210000</v>
      </c>
      <c r="I140" s="14" t="n">
        <v>168000</v>
      </c>
      <c r="J140" s="14" t="n">
        <f aca="false">E140*I140</f>
        <v>4200000</v>
      </c>
      <c r="K140" s="15" t="n">
        <f aca="false">H140*80%</f>
        <v>168000</v>
      </c>
    </row>
    <row r="141" customFormat="false" ht="115.65" hidden="false" customHeight="false" outlineLevel="0" collapsed="false">
      <c r="A141" s="11" t="n">
        <v>140</v>
      </c>
      <c r="B141" s="12" t="s">
        <v>285</v>
      </c>
      <c r="C141" s="12" t="s">
        <v>286</v>
      </c>
      <c r="D141" s="11" t="s">
        <v>118</v>
      </c>
      <c r="E141" s="13" t="n">
        <v>25</v>
      </c>
      <c r="F141" s="13" t="s">
        <v>51</v>
      </c>
      <c r="G141" s="13" t="s">
        <v>52</v>
      </c>
      <c r="H141" s="13" t="n">
        <v>205000</v>
      </c>
      <c r="I141" s="14" t="n">
        <v>180000</v>
      </c>
      <c r="J141" s="14" t="n">
        <f aca="false">E141*I141</f>
        <v>4500000</v>
      </c>
      <c r="K141" s="15" t="n">
        <f aca="false">H141*80%</f>
        <v>164000</v>
      </c>
    </row>
    <row r="142" s="20" customFormat="true" ht="52.2" hidden="false" customHeight="false" outlineLevel="0" collapsed="false">
      <c r="A142" s="11" t="n">
        <v>141</v>
      </c>
      <c r="B142" s="27" t="s">
        <v>287</v>
      </c>
      <c r="C142" s="18" t="s">
        <v>288</v>
      </c>
      <c r="D142" s="22" t="s">
        <v>48</v>
      </c>
      <c r="E142" s="19" t="n">
        <v>30</v>
      </c>
      <c r="F142" s="19" t="s">
        <v>62</v>
      </c>
      <c r="G142" s="13" t="s">
        <v>58</v>
      </c>
      <c r="H142" s="19" t="n">
        <v>195000</v>
      </c>
      <c r="I142" s="14" t="n">
        <v>156000</v>
      </c>
      <c r="J142" s="14" t="n">
        <f aca="false">E142*I142</f>
        <v>4680000</v>
      </c>
      <c r="K142" s="15" t="n">
        <f aca="false">H142*80%</f>
        <v>156000</v>
      </c>
      <c r="L142" s="0"/>
    </row>
    <row r="143" customFormat="false" ht="102.95" hidden="false" customHeight="false" outlineLevel="0" collapsed="false">
      <c r="A143" s="11" t="n">
        <v>142</v>
      </c>
      <c r="B143" s="12" t="s">
        <v>289</v>
      </c>
      <c r="C143" s="12" t="s">
        <v>290</v>
      </c>
      <c r="D143" s="11" t="s">
        <v>118</v>
      </c>
      <c r="E143" s="13" t="n">
        <v>20</v>
      </c>
      <c r="F143" s="13" t="s">
        <v>81</v>
      </c>
      <c r="G143" s="13" t="s">
        <v>14</v>
      </c>
      <c r="H143" s="13" t="n">
        <v>99000</v>
      </c>
      <c r="I143" s="14" t="n">
        <v>95000</v>
      </c>
      <c r="J143" s="14" t="n">
        <f aca="false">E143*I143</f>
        <v>1900000</v>
      </c>
      <c r="K143" s="15" t="n">
        <f aca="false">H143*80%</f>
        <v>79200</v>
      </c>
    </row>
    <row r="144" customFormat="false" ht="77.6" hidden="false" customHeight="false" outlineLevel="0" collapsed="false">
      <c r="A144" s="11" t="n">
        <v>143</v>
      </c>
      <c r="B144" s="12" t="s">
        <v>291</v>
      </c>
      <c r="C144" s="12" t="s">
        <v>292</v>
      </c>
      <c r="D144" s="11" t="s">
        <v>118</v>
      </c>
      <c r="E144" s="13" t="n">
        <v>70</v>
      </c>
      <c r="F144" s="13" t="s">
        <v>96</v>
      </c>
      <c r="G144" s="13" t="s">
        <v>113</v>
      </c>
      <c r="H144" s="13" t="n">
        <v>290000</v>
      </c>
      <c r="I144" s="14" t="n">
        <v>232000</v>
      </c>
      <c r="J144" s="14" t="n">
        <f aca="false">E144*I144</f>
        <v>16240000</v>
      </c>
      <c r="K144" s="15" t="n">
        <f aca="false">H144*80%</f>
        <v>232000</v>
      </c>
    </row>
    <row r="145" s="20" customFormat="true" ht="77.6" hidden="false" customHeight="false" outlineLevel="0" collapsed="false">
      <c r="A145" s="11" t="n">
        <v>144</v>
      </c>
      <c r="B145" s="18" t="s">
        <v>293</v>
      </c>
      <c r="C145" s="18" t="s">
        <v>294</v>
      </c>
      <c r="D145" s="22" t="s">
        <v>46</v>
      </c>
      <c r="E145" s="19" t="n">
        <v>60</v>
      </c>
      <c r="F145" s="19" t="s">
        <v>39</v>
      </c>
      <c r="G145" s="13" t="s">
        <v>14</v>
      </c>
      <c r="H145" s="19" t="n">
        <v>41000</v>
      </c>
      <c r="I145" s="14" t="n">
        <v>32800</v>
      </c>
      <c r="J145" s="14" t="n">
        <f aca="false">E145*I145</f>
        <v>1968000</v>
      </c>
      <c r="K145" s="15" t="n">
        <f aca="false">H145*80%</f>
        <v>32800</v>
      </c>
      <c r="L145" s="0"/>
    </row>
    <row r="146" customFormat="false" ht="39.55" hidden="false" customHeight="false" outlineLevel="0" collapsed="false">
      <c r="A146" s="11" t="n">
        <v>145</v>
      </c>
      <c r="B146" s="12" t="s">
        <v>295</v>
      </c>
      <c r="C146" s="12" t="s">
        <v>296</v>
      </c>
      <c r="D146" s="11" t="s">
        <v>48</v>
      </c>
      <c r="E146" s="13" t="n">
        <v>20</v>
      </c>
      <c r="F146" s="13" t="s">
        <v>96</v>
      </c>
      <c r="G146" s="13" t="s">
        <v>113</v>
      </c>
      <c r="H146" s="13" t="n">
        <v>135000</v>
      </c>
      <c r="I146" s="14" t="n">
        <v>108000</v>
      </c>
      <c r="J146" s="14" t="n">
        <f aca="false">E146*I146</f>
        <v>2160000</v>
      </c>
      <c r="K146" s="15" t="n">
        <f aca="false">H146*80%</f>
        <v>108000</v>
      </c>
    </row>
    <row r="147" customFormat="false" ht="243.75" hidden="false" customHeight="true" outlineLevel="0" collapsed="false">
      <c r="A147" s="11" t="n">
        <v>146</v>
      </c>
      <c r="B147" s="18" t="s">
        <v>297</v>
      </c>
      <c r="C147" s="12" t="s">
        <v>298</v>
      </c>
      <c r="D147" s="11" t="s">
        <v>166</v>
      </c>
      <c r="E147" s="13" t="n">
        <v>3</v>
      </c>
      <c r="F147" s="13" t="s">
        <v>81</v>
      </c>
      <c r="G147" s="13" t="s">
        <v>36</v>
      </c>
      <c r="H147" s="13" t="n">
        <v>1820000</v>
      </c>
      <c r="I147" s="14" t="n">
        <v>1650000</v>
      </c>
      <c r="J147" s="14" t="n">
        <f aca="false">E147*I147</f>
        <v>4950000</v>
      </c>
      <c r="K147" s="15" t="n">
        <f aca="false">H147*80%</f>
        <v>1456000</v>
      </c>
    </row>
    <row r="148" customFormat="false" ht="15.75" hidden="false" customHeight="false" outlineLevel="0" collapsed="false">
      <c r="A148" s="11" t="n">
        <v>147</v>
      </c>
      <c r="B148" s="12" t="s">
        <v>299</v>
      </c>
      <c r="C148" s="12"/>
      <c r="D148" s="11" t="s">
        <v>300</v>
      </c>
      <c r="E148" s="13" t="n">
        <v>3</v>
      </c>
      <c r="F148" s="13" t="s">
        <v>39</v>
      </c>
      <c r="G148" s="13" t="s">
        <v>14</v>
      </c>
      <c r="H148" s="13" t="n">
        <v>515000</v>
      </c>
      <c r="I148" s="14" t="n">
        <v>445000</v>
      </c>
      <c r="J148" s="14" t="n">
        <f aca="false">E148*I148</f>
        <v>1335000</v>
      </c>
      <c r="K148" s="15" t="n">
        <f aca="false">H148*80%</f>
        <v>412000</v>
      </c>
    </row>
    <row r="149" customFormat="false" ht="15.75" hidden="false" customHeight="false" outlineLevel="0" collapsed="false">
      <c r="A149" s="11" t="n">
        <v>148</v>
      </c>
      <c r="B149" s="12" t="s">
        <v>301</v>
      </c>
      <c r="C149" s="12"/>
      <c r="D149" s="11" t="s">
        <v>300</v>
      </c>
      <c r="E149" s="13" t="n">
        <v>3</v>
      </c>
      <c r="F149" s="13" t="s">
        <v>39</v>
      </c>
      <c r="G149" s="13" t="s">
        <v>14</v>
      </c>
      <c r="H149" s="13" t="n">
        <v>490000</v>
      </c>
      <c r="I149" s="14" t="n">
        <v>392000</v>
      </c>
      <c r="J149" s="14" t="n">
        <f aca="false">E149*I149</f>
        <v>1176000</v>
      </c>
      <c r="K149" s="15" t="n">
        <f aca="false">H149*80%</f>
        <v>392000</v>
      </c>
    </row>
    <row r="150" customFormat="false" ht="15.75" hidden="false" customHeight="false" outlineLevel="0" collapsed="false">
      <c r="A150" s="11" t="n">
        <v>149</v>
      </c>
      <c r="B150" s="12" t="s">
        <v>302</v>
      </c>
      <c r="C150" s="12"/>
      <c r="D150" s="11" t="s">
        <v>300</v>
      </c>
      <c r="E150" s="13" t="n">
        <v>3</v>
      </c>
      <c r="F150" s="13" t="s">
        <v>39</v>
      </c>
      <c r="G150" s="13" t="s">
        <v>14</v>
      </c>
      <c r="H150" s="13" t="n">
        <v>420000</v>
      </c>
      <c r="I150" s="14" t="n">
        <v>336000</v>
      </c>
      <c r="J150" s="14" t="n">
        <f aca="false">E150*I150</f>
        <v>1008000</v>
      </c>
      <c r="K150" s="15" t="n">
        <f aca="false">H150*80%</f>
        <v>336000</v>
      </c>
    </row>
    <row r="151" customFormat="false" ht="15.75" hidden="false" customHeight="false" outlineLevel="0" collapsed="false">
      <c r="A151" s="11" t="n">
        <v>150</v>
      </c>
      <c r="B151" s="12" t="s">
        <v>303</v>
      </c>
      <c r="C151" s="12"/>
      <c r="D151" s="11" t="s">
        <v>110</v>
      </c>
      <c r="E151" s="13" t="n">
        <v>5</v>
      </c>
      <c r="F151" s="13" t="s">
        <v>39</v>
      </c>
      <c r="G151" s="13" t="s">
        <v>58</v>
      </c>
      <c r="H151" s="13" t="n">
        <v>610000</v>
      </c>
      <c r="I151" s="14" t="n">
        <v>488000</v>
      </c>
      <c r="J151" s="14" t="n">
        <f aca="false">E151*I151</f>
        <v>2440000</v>
      </c>
      <c r="K151" s="15" t="n">
        <f aca="false">H151*80%</f>
        <v>488000</v>
      </c>
    </row>
    <row r="152" customFormat="false" ht="15.75" hidden="false" customHeight="true" outlineLevel="0" collapsed="false">
      <c r="A152" s="11" t="n">
        <v>151</v>
      </c>
      <c r="B152" s="12" t="s">
        <v>304</v>
      </c>
      <c r="C152" s="12"/>
      <c r="D152" s="11" t="s">
        <v>210</v>
      </c>
      <c r="E152" s="13" t="n">
        <v>100</v>
      </c>
      <c r="F152" s="13" t="s">
        <v>305</v>
      </c>
      <c r="G152" s="13" t="s">
        <v>14</v>
      </c>
      <c r="H152" s="13" t="n">
        <v>12000</v>
      </c>
      <c r="I152" s="14" t="n">
        <v>9600</v>
      </c>
      <c r="J152" s="14" t="n">
        <f aca="false">E152*I152</f>
        <v>960000</v>
      </c>
      <c r="K152" s="15" t="n">
        <f aca="false">H152*80%</f>
        <v>9600</v>
      </c>
    </row>
    <row r="153" customFormat="false" ht="15.75" hidden="false" customHeight="false" outlineLevel="0" collapsed="false">
      <c r="A153" s="11" t="n">
        <v>152</v>
      </c>
      <c r="B153" s="12" t="s">
        <v>306</v>
      </c>
      <c r="C153" s="12"/>
      <c r="D153" s="11" t="s">
        <v>307</v>
      </c>
      <c r="E153" s="13" t="n">
        <v>5</v>
      </c>
      <c r="F153" s="13" t="s">
        <v>39</v>
      </c>
      <c r="G153" s="13" t="s">
        <v>14</v>
      </c>
      <c r="H153" s="13" t="n">
        <v>11000</v>
      </c>
      <c r="I153" s="14" t="n">
        <v>8800</v>
      </c>
      <c r="J153" s="14" t="n">
        <f aca="false">E153*I153</f>
        <v>44000</v>
      </c>
      <c r="K153" s="15" t="n">
        <f aca="false">H153*80%</f>
        <v>8800</v>
      </c>
    </row>
    <row r="154" customFormat="false" ht="15.75" hidden="false" customHeight="false" outlineLevel="0" collapsed="false">
      <c r="A154" s="11" t="n">
        <v>153</v>
      </c>
      <c r="B154" s="12" t="s">
        <v>308</v>
      </c>
      <c r="C154" s="12"/>
      <c r="D154" s="11" t="s">
        <v>227</v>
      </c>
      <c r="E154" s="13" t="n">
        <v>91</v>
      </c>
      <c r="F154" s="13" t="s">
        <v>39</v>
      </c>
      <c r="G154" s="13" t="s">
        <v>14</v>
      </c>
      <c r="H154" s="13" t="n">
        <v>40000</v>
      </c>
      <c r="I154" s="14" t="n">
        <v>32000</v>
      </c>
      <c r="J154" s="14" t="n">
        <f aca="false">E154*I154</f>
        <v>2912000</v>
      </c>
      <c r="K154" s="15" t="n">
        <f aca="false">H154*80%</f>
        <v>32000</v>
      </c>
    </row>
    <row r="155" customFormat="false" ht="15.75" hidden="false" customHeight="true" outlineLevel="0" collapsed="false">
      <c r="A155" s="11" t="n">
        <v>154</v>
      </c>
      <c r="B155" s="12" t="s">
        <v>309</v>
      </c>
      <c r="C155" s="12" t="s">
        <v>310</v>
      </c>
      <c r="D155" s="11" t="s">
        <v>311</v>
      </c>
      <c r="E155" s="13" t="n">
        <v>20</v>
      </c>
      <c r="F155" s="13" t="s">
        <v>312</v>
      </c>
      <c r="G155" s="13" t="s">
        <v>14</v>
      </c>
      <c r="H155" s="13" t="n">
        <v>68000</v>
      </c>
      <c r="I155" s="14" t="n">
        <v>54400</v>
      </c>
      <c r="J155" s="14" t="n">
        <f aca="false">E155*I155</f>
        <v>1088000</v>
      </c>
      <c r="K155" s="15" t="n">
        <f aca="false">H155*80%</f>
        <v>54400</v>
      </c>
    </row>
    <row r="156" customFormat="false" ht="15.75" hidden="false" customHeight="true" outlineLevel="0" collapsed="false">
      <c r="A156" s="11" t="n">
        <v>155</v>
      </c>
      <c r="B156" s="12" t="s">
        <v>313</v>
      </c>
      <c r="C156" s="12" t="s">
        <v>310</v>
      </c>
      <c r="D156" s="11" t="s">
        <v>311</v>
      </c>
      <c r="E156" s="13" t="n">
        <v>20</v>
      </c>
      <c r="F156" s="13" t="s">
        <v>312</v>
      </c>
      <c r="G156" s="13" t="s">
        <v>14</v>
      </c>
      <c r="H156" s="13" t="n">
        <v>85000</v>
      </c>
      <c r="I156" s="14" t="n">
        <v>68000</v>
      </c>
      <c r="J156" s="14" t="n">
        <f aca="false">E156*I156</f>
        <v>1360000</v>
      </c>
      <c r="K156" s="15" t="n">
        <f aca="false">H156*80%</f>
        <v>68000</v>
      </c>
    </row>
    <row r="157" customFormat="false" ht="15.75" hidden="false" customHeight="true" outlineLevel="0" collapsed="false">
      <c r="A157" s="11" t="n">
        <v>156</v>
      </c>
      <c r="B157" s="12" t="s">
        <v>314</v>
      </c>
      <c r="C157" s="12" t="s">
        <v>310</v>
      </c>
      <c r="D157" s="11" t="s">
        <v>311</v>
      </c>
      <c r="E157" s="13" t="n">
        <v>20</v>
      </c>
      <c r="F157" s="13" t="s">
        <v>312</v>
      </c>
      <c r="G157" s="13" t="s">
        <v>14</v>
      </c>
      <c r="H157" s="13" t="n">
        <v>120000</v>
      </c>
      <c r="I157" s="14" t="n">
        <v>96000</v>
      </c>
      <c r="J157" s="14" t="n">
        <f aca="false">E157*I157</f>
        <v>1920000</v>
      </c>
      <c r="K157" s="15" t="n">
        <f aca="false">H157*80%</f>
        <v>96000</v>
      </c>
    </row>
    <row r="158" customFormat="false" ht="15.75" hidden="false" customHeight="true" outlineLevel="0" collapsed="false">
      <c r="A158" s="11" t="n">
        <v>157</v>
      </c>
      <c r="B158" s="12" t="s">
        <v>315</v>
      </c>
      <c r="C158" s="12" t="s">
        <v>310</v>
      </c>
      <c r="D158" s="11" t="s">
        <v>311</v>
      </c>
      <c r="E158" s="13" t="n">
        <v>20</v>
      </c>
      <c r="F158" s="13" t="s">
        <v>312</v>
      </c>
      <c r="G158" s="13" t="s">
        <v>14</v>
      </c>
      <c r="H158" s="13" t="n">
        <v>194000</v>
      </c>
      <c r="I158" s="14" t="n">
        <v>155200</v>
      </c>
      <c r="J158" s="14" t="n">
        <f aca="false">E158*I158</f>
        <v>3104000</v>
      </c>
      <c r="K158" s="15" t="n">
        <f aca="false">H158*80%</f>
        <v>155200</v>
      </c>
    </row>
    <row r="159" customFormat="false" ht="60" hidden="false" customHeight="true" outlineLevel="0" collapsed="false">
      <c r="A159" s="11" t="n">
        <v>158</v>
      </c>
      <c r="B159" s="12" t="s">
        <v>316</v>
      </c>
      <c r="C159" s="12" t="s">
        <v>317</v>
      </c>
      <c r="D159" s="11" t="s">
        <v>156</v>
      </c>
      <c r="E159" s="13" t="n">
        <v>40</v>
      </c>
      <c r="F159" s="13" t="s">
        <v>246</v>
      </c>
      <c r="G159" s="13" t="s">
        <v>14</v>
      </c>
      <c r="H159" s="13" t="n">
        <v>107000</v>
      </c>
      <c r="I159" s="14" t="n">
        <v>85600</v>
      </c>
      <c r="J159" s="14" t="n">
        <f aca="false">E159*I159</f>
        <v>3424000</v>
      </c>
      <c r="K159" s="15" t="n">
        <f aca="false">H159*80%</f>
        <v>85600</v>
      </c>
    </row>
    <row r="160" s="20" customFormat="true" ht="102.95" hidden="false" customHeight="false" outlineLevel="0" collapsed="false">
      <c r="A160" s="11" t="n">
        <v>159</v>
      </c>
      <c r="B160" s="21" t="s">
        <v>318</v>
      </c>
      <c r="C160" s="18" t="s">
        <v>319</v>
      </c>
      <c r="D160" s="22" t="s">
        <v>320</v>
      </c>
      <c r="E160" s="19" t="n">
        <v>10</v>
      </c>
      <c r="F160" s="19" t="s">
        <v>39</v>
      </c>
      <c r="G160" s="13" t="s">
        <v>14</v>
      </c>
      <c r="H160" s="19" t="n">
        <v>52000</v>
      </c>
      <c r="I160" s="14" t="n">
        <v>41600</v>
      </c>
      <c r="J160" s="14" t="n">
        <f aca="false">E160*I160</f>
        <v>416000</v>
      </c>
      <c r="K160" s="15" t="n">
        <f aca="false">H160*80%</f>
        <v>41600</v>
      </c>
      <c r="L160" s="0"/>
    </row>
    <row r="161" s="20" customFormat="true" ht="15.75" hidden="false" customHeight="false" outlineLevel="0" collapsed="false">
      <c r="A161" s="11" t="n">
        <v>160</v>
      </c>
      <c r="B161" s="17" t="s">
        <v>321</v>
      </c>
      <c r="C161" s="32" t="s">
        <v>322</v>
      </c>
      <c r="D161" s="25" t="s">
        <v>227</v>
      </c>
      <c r="E161" s="19" t="n">
        <v>16</v>
      </c>
      <c r="F161" s="19" t="s">
        <v>39</v>
      </c>
      <c r="G161" s="13" t="s">
        <v>14</v>
      </c>
      <c r="H161" s="19" t="n">
        <v>61000</v>
      </c>
      <c r="I161" s="14" t="n">
        <v>48800</v>
      </c>
      <c r="J161" s="14" t="n">
        <f aca="false">E161*I161</f>
        <v>780800</v>
      </c>
      <c r="K161" s="15" t="n">
        <f aca="false">H161*80%</f>
        <v>48800</v>
      </c>
      <c r="L161" s="0"/>
    </row>
    <row r="162" customFormat="false" ht="15.75" hidden="false" customHeight="false" outlineLevel="0" collapsed="false">
      <c r="A162" s="11" t="n">
        <v>161</v>
      </c>
      <c r="B162" s="12" t="s">
        <v>323</v>
      </c>
      <c r="C162" s="32" t="s">
        <v>322</v>
      </c>
      <c r="D162" s="11" t="s">
        <v>320</v>
      </c>
      <c r="E162" s="13" t="n">
        <v>100</v>
      </c>
      <c r="F162" s="13" t="s">
        <v>39</v>
      </c>
      <c r="G162" s="13" t="s">
        <v>14</v>
      </c>
      <c r="H162" s="13" t="n">
        <v>58000</v>
      </c>
      <c r="I162" s="14" t="n">
        <v>46400</v>
      </c>
      <c r="J162" s="14" t="n">
        <f aca="false">E162*I162</f>
        <v>4640000</v>
      </c>
      <c r="K162" s="15" t="n">
        <f aca="false">H162*80%</f>
        <v>46400</v>
      </c>
    </row>
    <row r="163" s="20" customFormat="true" ht="15.75" hidden="false" customHeight="false" outlineLevel="0" collapsed="false">
      <c r="A163" s="11" t="n">
        <v>162</v>
      </c>
      <c r="B163" s="29" t="s">
        <v>324</v>
      </c>
      <c r="C163" s="32" t="s">
        <v>322</v>
      </c>
      <c r="D163" s="22" t="s">
        <v>156</v>
      </c>
      <c r="E163" s="19" t="n">
        <v>40</v>
      </c>
      <c r="F163" s="19" t="s">
        <v>39</v>
      </c>
      <c r="G163" s="13" t="s">
        <v>14</v>
      </c>
      <c r="H163" s="19" t="n">
        <v>5000</v>
      </c>
      <c r="I163" s="14" t="n">
        <v>4000</v>
      </c>
      <c r="J163" s="14" t="n">
        <f aca="false">E163*I163</f>
        <v>160000</v>
      </c>
      <c r="K163" s="15" t="n">
        <f aca="false">H163*80%</f>
        <v>4000</v>
      </c>
      <c r="L163" s="0"/>
    </row>
    <row r="164" s="20" customFormat="true" ht="15.75" hidden="false" customHeight="false" outlineLevel="0" collapsed="false">
      <c r="A164" s="11" t="n">
        <v>163</v>
      </c>
      <c r="B164" s="29" t="s">
        <v>324</v>
      </c>
      <c r="C164" s="32" t="s">
        <v>322</v>
      </c>
      <c r="D164" s="22" t="s">
        <v>156</v>
      </c>
      <c r="E164" s="19" t="n">
        <v>20</v>
      </c>
      <c r="F164" s="19" t="s">
        <v>39</v>
      </c>
      <c r="G164" s="13" t="s">
        <v>14</v>
      </c>
      <c r="H164" s="19" t="n">
        <v>5000</v>
      </c>
      <c r="I164" s="14" t="n">
        <v>4000</v>
      </c>
      <c r="J164" s="14" t="n">
        <f aca="false">E164*I164</f>
        <v>80000</v>
      </c>
      <c r="K164" s="15" t="n">
        <f aca="false">H164*80%</f>
        <v>4000</v>
      </c>
      <c r="L164" s="0"/>
    </row>
    <row r="165" customFormat="false" ht="69" hidden="false" customHeight="true" outlineLevel="0" collapsed="false">
      <c r="A165" s="11" t="n">
        <v>164</v>
      </c>
      <c r="B165" s="12" t="s">
        <v>325</v>
      </c>
      <c r="C165" s="12" t="s">
        <v>326</v>
      </c>
      <c r="D165" s="11" t="s">
        <v>311</v>
      </c>
      <c r="E165" s="13" t="n">
        <v>60</v>
      </c>
      <c r="F165" s="13" t="s">
        <v>305</v>
      </c>
      <c r="G165" s="13" t="s">
        <v>14</v>
      </c>
      <c r="H165" s="13" t="n">
        <v>47000</v>
      </c>
      <c r="I165" s="14" t="n">
        <v>38000</v>
      </c>
      <c r="J165" s="14" t="n">
        <f aca="false">E165*I165</f>
        <v>2280000</v>
      </c>
      <c r="K165" s="15" t="n">
        <f aca="false">H165*80%</f>
        <v>37600</v>
      </c>
    </row>
    <row r="166" customFormat="false" ht="51.75" hidden="false" customHeight="true" outlineLevel="0" collapsed="false">
      <c r="A166" s="11" t="n">
        <v>165</v>
      </c>
      <c r="B166" s="12" t="s">
        <v>327</v>
      </c>
      <c r="C166" s="12" t="s">
        <v>328</v>
      </c>
      <c r="D166" s="11" t="s">
        <v>48</v>
      </c>
      <c r="E166" s="13" t="n">
        <v>40</v>
      </c>
      <c r="F166" s="13" t="s">
        <v>39</v>
      </c>
      <c r="G166" s="13" t="s">
        <v>14</v>
      </c>
      <c r="H166" s="13" t="n">
        <v>205000</v>
      </c>
      <c r="I166" s="14" t="n">
        <v>164000</v>
      </c>
      <c r="J166" s="14" t="n">
        <f aca="false">E166*I166</f>
        <v>6560000</v>
      </c>
      <c r="K166" s="15" t="n">
        <f aca="false">H166*80%</f>
        <v>164000</v>
      </c>
    </row>
    <row r="167" customFormat="false" ht="31.5" hidden="false" customHeight="true" outlineLevel="0" collapsed="false">
      <c r="A167" s="11" t="n">
        <v>166</v>
      </c>
      <c r="B167" s="12" t="s">
        <v>329</v>
      </c>
      <c r="C167" s="12" t="s">
        <v>330</v>
      </c>
      <c r="D167" s="11" t="s">
        <v>48</v>
      </c>
      <c r="E167" s="13" t="n">
        <v>40</v>
      </c>
      <c r="F167" s="13" t="s">
        <v>246</v>
      </c>
      <c r="G167" s="13" t="s">
        <v>14</v>
      </c>
      <c r="H167" s="13" t="n">
        <v>39000</v>
      </c>
      <c r="I167" s="14" t="n">
        <v>35000</v>
      </c>
      <c r="J167" s="14" t="n">
        <f aca="false">E167*I167</f>
        <v>1400000</v>
      </c>
      <c r="K167" s="15" t="n">
        <f aca="false">H167*80%</f>
        <v>31200</v>
      </c>
    </row>
    <row r="168" customFormat="false" ht="34.5" hidden="false" customHeight="true" outlineLevel="0" collapsed="false">
      <c r="A168" s="11" t="n">
        <v>167</v>
      </c>
      <c r="B168" s="12" t="s">
        <v>331</v>
      </c>
      <c r="C168" s="12" t="s">
        <v>332</v>
      </c>
      <c r="D168" s="11" t="s">
        <v>48</v>
      </c>
      <c r="E168" s="13" t="n">
        <v>30</v>
      </c>
      <c r="F168" s="13" t="s">
        <v>246</v>
      </c>
      <c r="G168" s="13" t="s">
        <v>14</v>
      </c>
      <c r="H168" s="13" t="n">
        <v>145000</v>
      </c>
      <c r="I168" s="14" t="n">
        <v>116000</v>
      </c>
      <c r="J168" s="14" t="n">
        <f aca="false">E168*I168</f>
        <v>3480000</v>
      </c>
      <c r="K168" s="15" t="n">
        <f aca="false">H168*80%</f>
        <v>116000</v>
      </c>
    </row>
    <row r="169" s="20" customFormat="true" ht="90.25" hidden="false" customHeight="false" outlineLevel="0" collapsed="false">
      <c r="A169" s="11" t="n">
        <v>168</v>
      </c>
      <c r="B169" s="31" t="s">
        <v>333</v>
      </c>
      <c r="C169" s="18" t="s">
        <v>334</v>
      </c>
      <c r="D169" s="22" t="s">
        <v>118</v>
      </c>
      <c r="E169" s="19" t="n">
        <v>70</v>
      </c>
      <c r="F169" s="19" t="s">
        <v>335</v>
      </c>
      <c r="G169" s="19" t="s">
        <v>14</v>
      </c>
      <c r="H169" s="19" t="n">
        <v>37000</v>
      </c>
      <c r="I169" s="14" t="n">
        <v>29600</v>
      </c>
      <c r="J169" s="14" t="n">
        <f aca="false">E169*I169</f>
        <v>2072000</v>
      </c>
      <c r="K169" s="15" t="n">
        <f aca="false">H169*80%</f>
        <v>29600</v>
      </c>
      <c r="L169" s="0"/>
    </row>
    <row r="170" s="20" customFormat="true" ht="52.2" hidden="false" customHeight="false" outlineLevel="0" collapsed="false">
      <c r="A170" s="11" t="n">
        <v>169</v>
      </c>
      <c r="B170" s="17" t="s">
        <v>336</v>
      </c>
      <c r="C170" s="12" t="s">
        <v>337</v>
      </c>
      <c r="D170" s="22" t="s">
        <v>338</v>
      </c>
      <c r="E170" s="19" t="n">
        <v>40</v>
      </c>
      <c r="F170" s="19" t="s">
        <v>339</v>
      </c>
      <c r="G170" s="19" t="s">
        <v>14</v>
      </c>
      <c r="H170" s="19" t="n">
        <v>15000</v>
      </c>
      <c r="I170" s="14" t="n">
        <v>20000</v>
      </c>
      <c r="J170" s="14" t="n">
        <f aca="false">E170*I170</f>
        <v>800000</v>
      </c>
      <c r="K170" s="15" t="n">
        <f aca="false">H170*80%</f>
        <v>12000</v>
      </c>
      <c r="L170" s="0"/>
    </row>
    <row r="171" customFormat="false" ht="15.75" hidden="false" customHeight="true" outlineLevel="0" collapsed="false">
      <c r="A171" s="11" t="n">
        <v>170</v>
      </c>
      <c r="B171" s="12" t="s">
        <v>340</v>
      </c>
      <c r="C171" s="12"/>
      <c r="D171" s="11" t="s">
        <v>311</v>
      </c>
      <c r="E171" s="13" t="n">
        <v>100</v>
      </c>
      <c r="F171" s="13" t="s">
        <v>39</v>
      </c>
      <c r="G171" s="13" t="s">
        <v>14</v>
      </c>
      <c r="H171" s="13" t="n">
        <v>3000</v>
      </c>
      <c r="I171" s="14" t="n">
        <v>2400</v>
      </c>
      <c r="J171" s="14" t="n">
        <f aca="false">E171*I171</f>
        <v>240000</v>
      </c>
      <c r="K171" s="15" t="n">
        <f aca="false">H171*80%</f>
        <v>2400</v>
      </c>
    </row>
    <row r="172" customFormat="false" ht="33.75" hidden="false" customHeight="true" outlineLevel="0" collapsed="false">
      <c r="A172" s="11" t="n">
        <v>171</v>
      </c>
      <c r="B172" s="12" t="s">
        <v>341</v>
      </c>
      <c r="C172" s="12" t="s">
        <v>342</v>
      </c>
      <c r="D172" s="11" t="s">
        <v>118</v>
      </c>
      <c r="E172" s="13" t="n">
        <v>20</v>
      </c>
      <c r="F172" s="13" t="s">
        <v>51</v>
      </c>
      <c r="G172" s="13" t="s">
        <v>52</v>
      </c>
      <c r="H172" s="13" t="n">
        <v>59000</v>
      </c>
      <c r="I172" s="14" t="n">
        <v>47200</v>
      </c>
      <c r="J172" s="14" t="n">
        <f aca="false">E172*I172</f>
        <v>944000</v>
      </c>
      <c r="K172" s="15" t="n">
        <f aca="false">H172*80%</f>
        <v>47200</v>
      </c>
    </row>
    <row r="173" customFormat="false" ht="15.75" hidden="false" customHeight="true" outlineLevel="0" collapsed="false">
      <c r="A173" s="11" t="n">
        <v>172</v>
      </c>
      <c r="B173" s="12" t="s">
        <v>343</v>
      </c>
      <c r="C173" s="12" t="s">
        <v>344</v>
      </c>
      <c r="D173" s="11" t="s">
        <v>118</v>
      </c>
      <c r="E173" s="13" t="n">
        <v>20</v>
      </c>
      <c r="F173" s="13" t="s">
        <v>51</v>
      </c>
      <c r="G173" s="13" t="s">
        <v>52</v>
      </c>
      <c r="H173" s="13" t="n">
        <v>80000</v>
      </c>
      <c r="I173" s="14" t="n">
        <v>64000</v>
      </c>
      <c r="J173" s="14" t="n">
        <f aca="false">E173*I173</f>
        <v>1280000</v>
      </c>
      <c r="K173" s="15" t="n">
        <f aca="false">H173*80%</f>
        <v>64000</v>
      </c>
    </row>
    <row r="174" customFormat="false" ht="15.75" hidden="false" customHeight="false" outlineLevel="0" collapsed="false">
      <c r="A174" s="11" t="n">
        <v>173</v>
      </c>
      <c r="B174" s="12" t="s">
        <v>345</v>
      </c>
      <c r="C174" s="12"/>
      <c r="D174" s="11" t="s">
        <v>48</v>
      </c>
      <c r="E174" s="13" t="n">
        <v>100</v>
      </c>
      <c r="F174" s="13" t="s">
        <v>246</v>
      </c>
      <c r="G174" s="13" t="s">
        <v>14</v>
      </c>
      <c r="H174" s="13" t="n">
        <v>20000</v>
      </c>
      <c r="I174" s="14" t="n">
        <v>16000</v>
      </c>
      <c r="J174" s="14" t="n">
        <f aca="false">E174*I174</f>
        <v>1600000</v>
      </c>
      <c r="K174" s="15" t="n">
        <f aca="false">H174*80%</f>
        <v>16000</v>
      </c>
    </row>
    <row r="175" customFormat="false" ht="64.9" hidden="false" customHeight="false" outlineLevel="0" collapsed="false">
      <c r="A175" s="11" t="n">
        <v>174</v>
      </c>
      <c r="B175" s="12" t="s">
        <v>346</v>
      </c>
      <c r="C175" s="12" t="s">
        <v>347</v>
      </c>
      <c r="D175" s="11" t="s">
        <v>48</v>
      </c>
      <c r="E175" s="13" t="n">
        <v>60</v>
      </c>
      <c r="F175" s="13" t="s">
        <v>246</v>
      </c>
      <c r="G175" s="13" t="s">
        <v>14</v>
      </c>
      <c r="H175" s="13" t="n">
        <v>159000</v>
      </c>
      <c r="I175" s="14" t="n">
        <v>127200</v>
      </c>
      <c r="J175" s="14" t="n">
        <f aca="false">E175*I175</f>
        <v>7632000</v>
      </c>
      <c r="K175" s="15" t="n">
        <f aca="false">H175*80%</f>
        <v>127200</v>
      </c>
    </row>
    <row r="176" s="20" customFormat="true" ht="26.85" hidden="false" customHeight="false" outlineLevel="0" collapsed="false">
      <c r="A176" s="11" t="n">
        <v>175</v>
      </c>
      <c r="B176" s="21" t="s">
        <v>348</v>
      </c>
      <c r="C176" s="18" t="s">
        <v>349</v>
      </c>
      <c r="D176" s="22" t="s">
        <v>118</v>
      </c>
      <c r="E176" s="19" t="n">
        <v>10</v>
      </c>
      <c r="F176" s="19" t="s">
        <v>246</v>
      </c>
      <c r="G176" s="19" t="s">
        <v>14</v>
      </c>
      <c r="H176" s="19" t="n">
        <v>22000</v>
      </c>
      <c r="I176" s="14" t="n">
        <v>30000</v>
      </c>
      <c r="J176" s="14" t="n">
        <f aca="false">E176*I176</f>
        <v>300000</v>
      </c>
      <c r="K176" s="15" t="n">
        <f aca="false">H176*80%</f>
        <v>17600</v>
      </c>
      <c r="L176" s="0"/>
    </row>
    <row r="177" s="20" customFormat="true" ht="26.85" hidden="false" customHeight="false" outlineLevel="0" collapsed="false">
      <c r="A177" s="11" t="n">
        <v>176</v>
      </c>
      <c r="B177" s="21" t="s">
        <v>350</v>
      </c>
      <c r="C177" s="18" t="s">
        <v>349</v>
      </c>
      <c r="D177" s="22" t="s">
        <v>118</v>
      </c>
      <c r="E177" s="19" t="n">
        <v>10</v>
      </c>
      <c r="F177" s="19" t="s">
        <v>246</v>
      </c>
      <c r="G177" s="19" t="s">
        <v>14</v>
      </c>
      <c r="H177" s="19" t="n">
        <v>40000</v>
      </c>
      <c r="I177" s="14" t="n">
        <v>30000</v>
      </c>
      <c r="J177" s="14" t="n">
        <f aca="false">E177*I177</f>
        <v>300000</v>
      </c>
      <c r="K177" s="15" t="n">
        <f aca="false">H177*80%</f>
        <v>32000</v>
      </c>
      <c r="L177" s="0"/>
    </row>
    <row r="178" customFormat="false" ht="15.75" hidden="false" customHeight="true" outlineLevel="0" collapsed="false">
      <c r="A178" s="11" t="n">
        <v>177</v>
      </c>
      <c r="B178" s="18" t="s">
        <v>351</v>
      </c>
      <c r="C178" s="12" t="s">
        <v>352</v>
      </c>
      <c r="D178" s="11" t="s">
        <v>46</v>
      </c>
      <c r="E178" s="13" t="n">
        <v>20</v>
      </c>
      <c r="F178" s="13" t="s">
        <v>246</v>
      </c>
      <c r="G178" s="13" t="s">
        <v>14</v>
      </c>
      <c r="H178" s="13" t="n">
        <v>83000</v>
      </c>
      <c r="I178" s="14" t="n">
        <v>66400</v>
      </c>
      <c r="J178" s="14" t="n">
        <f aca="false">E178*I178</f>
        <v>1328000</v>
      </c>
      <c r="K178" s="15" t="n">
        <f aca="false">H178*80%</f>
        <v>66400</v>
      </c>
    </row>
    <row r="179" customFormat="false" ht="60.75" hidden="false" customHeight="true" outlineLevel="0" collapsed="false">
      <c r="A179" s="11" t="n">
        <v>178</v>
      </c>
      <c r="B179" s="12" t="s">
        <v>353</v>
      </c>
      <c r="C179" s="12" t="s">
        <v>354</v>
      </c>
      <c r="D179" s="11" t="s">
        <v>48</v>
      </c>
      <c r="E179" s="13" t="n">
        <v>50</v>
      </c>
      <c r="F179" s="13" t="s">
        <v>246</v>
      </c>
      <c r="G179" s="13" t="s">
        <v>14</v>
      </c>
      <c r="H179" s="13" t="n">
        <v>42000</v>
      </c>
      <c r="I179" s="14" t="n">
        <v>40000</v>
      </c>
      <c r="J179" s="14" t="n">
        <f aca="false">E179*I179</f>
        <v>2000000</v>
      </c>
      <c r="K179" s="15" t="n">
        <f aca="false">H179*80%</f>
        <v>33600</v>
      </c>
    </row>
    <row r="180" customFormat="false" ht="34.5" hidden="false" customHeight="true" outlineLevel="0" collapsed="false">
      <c r="A180" s="11" t="n">
        <v>179</v>
      </c>
      <c r="B180" s="12" t="s">
        <v>355</v>
      </c>
      <c r="C180" s="12" t="s">
        <v>356</v>
      </c>
      <c r="D180" s="11" t="s">
        <v>48</v>
      </c>
      <c r="E180" s="13" t="n">
        <v>30</v>
      </c>
      <c r="F180" s="13" t="s">
        <v>246</v>
      </c>
      <c r="G180" s="13" t="s">
        <v>14</v>
      </c>
      <c r="H180" s="13" t="n">
        <v>10000</v>
      </c>
      <c r="I180" s="14" t="n">
        <v>8000</v>
      </c>
      <c r="J180" s="14" t="n">
        <f aca="false">E180*I180</f>
        <v>240000</v>
      </c>
      <c r="K180" s="15" t="n">
        <f aca="false">H180*80%</f>
        <v>8000</v>
      </c>
    </row>
    <row r="181" s="20" customFormat="true" ht="15.75" hidden="false" customHeight="false" outlineLevel="0" collapsed="false">
      <c r="A181" s="11" t="n">
        <v>180</v>
      </c>
      <c r="B181" s="21" t="s">
        <v>357</v>
      </c>
      <c r="C181" s="18" t="s">
        <v>358</v>
      </c>
      <c r="D181" s="22" t="s">
        <v>118</v>
      </c>
      <c r="E181" s="19" t="n">
        <v>3</v>
      </c>
      <c r="F181" s="19" t="s">
        <v>39</v>
      </c>
      <c r="G181" s="19" t="s">
        <v>58</v>
      </c>
      <c r="H181" s="19" t="n">
        <v>27000</v>
      </c>
      <c r="I181" s="14" t="n">
        <v>21600</v>
      </c>
      <c r="J181" s="14" t="n">
        <f aca="false">E181*I181</f>
        <v>64800</v>
      </c>
      <c r="K181" s="15" t="n">
        <f aca="false">H181*80%</f>
        <v>21600</v>
      </c>
      <c r="L181" s="0"/>
    </row>
    <row r="182" s="20" customFormat="true" ht="15.75" hidden="false" customHeight="false" outlineLevel="0" collapsed="false">
      <c r="A182" s="11" t="n">
        <v>181</v>
      </c>
      <c r="B182" s="21" t="s">
        <v>359</v>
      </c>
      <c r="C182" s="18" t="s">
        <v>360</v>
      </c>
      <c r="D182" s="22" t="s">
        <v>361</v>
      </c>
      <c r="E182" s="19" t="n">
        <v>3</v>
      </c>
      <c r="F182" s="19" t="s">
        <v>39</v>
      </c>
      <c r="G182" s="19" t="s">
        <v>58</v>
      </c>
      <c r="H182" s="19" t="n">
        <v>120000</v>
      </c>
      <c r="I182" s="14" t="n">
        <v>96000</v>
      </c>
      <c r="J182" s="14" t="n">
        <f aca="false">E182*I182</f>
        <v>288000</v>
      </c>
      <c r="K182" s="15" t="n">
        <f aca="false">H182*80%</f>
        <v>96000</v>
      </c>
      <c r="L182" s="0"/>
    </row>
    <row r="183" customFormat="false" ht="15.75" hidden="false" customHeight="true" outlineLevel="0" collapsed="false">
      <c r="A183" s="11" t="n">
        <v>182</v>
      </c>
      <c r="B183" s="12" t="s">
        <v>362</v>
      </c>
      <c r="C183" s="12"/>
      <c r="D183" s="11" t="s">
        <v>363</v>
      </c>
      <c r="E183" s="13" t="n">
        <v>5</v>
      </c>
      <c r="F183" s="13" t="s">
        <v>364</v>
      </c>
      <c r="G183" s="13" t="s">
        <v>14</v>
      </c>
      <c r="H183" s="13" t="n">
        <v>470000</v>
      </c>
      <c r="I183" s="14" t="n">
        <v>376000</v>
      </c>
      <c r="J183" s="14" t="n">
        <f aca="false">E183*I183</f>
        <v>1880000</v>
      </c>
      <c r="K183" s="15" t="n">
        <f aca="false">H183*80%</f>
        <v>376000</v>
      </c>
    </row>
    <row r="184" customFormat="false" ht="39.55" hidden="false" customHeight="false" outlineLevel="0" collapsed="false">
      <c r="A184" s="11" t="n">
        <v>183</v>
      </c>
      <c r="B184" s="12" t="s">
        <v>365</v>
      </c>
      <c r="C184" s="12" t="s">
        <v>366</v>
      </c>
      <c r="D184" s="11" t="s">
        <v>311</v>
      </c>
      <c r="E184" s="13" t="n">
        <v>5</v>
      </c>
      <c r="F184" s="13" t="s">
        <v>367</v>
      </c>
      <c r="G184" s="13" t="s">
        <v>58</v>
      </c>
      <c r="H184" s="13" t="n">
        <v>720000</v>
      </c>
      <c r="I184" s="14" t="n">
        <v>576000</v>
      </c>
      <c r="J184" s="14" t="n">
        <f aca="false">E184*I184</f>
        <v>2880000</v>
      </c>
      <c r="K184" s="15" t="n">
        <f aca="false">H184*80%</f>
        <v>576000</v>
      </c>
    </row>
    <row r="185" customFormat="false" ht="54" hidden="false" customHeight="true" outlineLevel="0" collapsed="false">
      <c r="A185" s="33" t="n">
        <v>184</v>
      </c>
      <c r="B185" s="34" t="s">
        <v>368</v>
      </c>
      <c r="C185" s="35" t="s">
        <v>369</v>
      </c>
      <c r="D185" s="33" t="s">
        <v>48</v>
      </c>
      <c r="E185" s="36" t="n">
        <v>10</v>
      </c>
      <c r="F185" s="36" t="s">
        <v>370</v>
      </c>
      <c r="G185" s="36" t="s">
        <v>14</v>
      </c>
      <c r="H185" s="36" t="n">
        <v>7500000</v>
      </c>
      <c r="I185" s="37" t="n">
        <v>110000</v>
      </c>
      <c r="J185" s="37" t="n">
        <f aca="false">E185*I185</f>
        <v>1100000</v>
      </c>
      <c r="K185" s="15" t="n">
        <f aca="false">H185*80%</f>
        <v>6000000</v>
      </c>
    </row>
    <row r="186" s="20" customFormat="true" ht="52.2" hidden="false" customHeight="false" outlineLevel="0" collapsed="false">
      <c r="A186" s="11" t="n">
        <v>185</v>
      </c>
      <c r="B186" s="27" t="s">
        <v>371</v>
      </c>
      <c r="C186" s="18" t="s">
        <v>372</v>
      </c>
      <c r="D186" s="11" t="s">
        <v>373</v>
      </c>
      <c r="E186" s="19" t="n">
        <v>120</v>
      </c>
      <c r="F186" s="19" t="s">
        <v>263</v>
      </c>
      <c r="G186" s="19" t="s">
        <v>113</v>
      </c>
      <c r="H186" s="19" t="n">
        <v>34000</v>
      </c>
      <c r="I186" s="14" t="n">
        <v>27200</v>
      </c>
      <c r="J186" s="14" t="n">
        <f aca="false">E186*I186</f>
        <v>3264000</v>
      </c>
      <c r="K186" s="15" t="n">
        <f aca="false">H186*80%</f>
        <v>27200</v>
      </c>
      <c r="L186" s="0"/>
    </row>
    <row r="187" customFormat="false" ht="26.85" hidden="false" customHeight="false" outlineLevel="0" collapsed="false">
      <c r="A187" s="11" t="n">
        <v>186</v>
      </c>
      <c r="B187" s="12" t="s">
        <v>374</v>
      </c>
      <c r="C187" s="12" t="s">
        <v>375</v>
      </c>
      <c r="D187" s="11" t="s">
        <v>373</v>
      </c>
      <c r="E187" s="13" t="n">
        <v>50</v>
      </c>
      <c r="F187" s="13" t="s">
        <v>376</v>
      </c>
      <c r="G187" s="13" t="s">
        <v>377</v>
      </c>
      <c r="H187" s="13" t="n">
        <v>40000</v>
      </c>
      <c r="I187" s="14" t="n">
        <v>32000</v>
      </c>
      <c r="J187" s="14" t="n">
        <f aca="false">E187*I187</f>
        <v>1600000</v>
      </c>
      <c r="K187" s="15" t="n">
        <f aca="false">H187*80%</f>
        <v>32000</v>
      </c>
    </row>
    <row r="188" customFormat="false" ht="54" hidden="false" customHeight="true" outlineLevel="0" collapsed="false">
      <c r="A188" s="11" t="n">
        <v>187</v>
      </c>
      <c r="B188" s="12" t="s">
        <v>378</v>
      </c>
      <c r="C188" s="12" t="s">
        <v>379</v>
      </c>
      <c r="D188" s="11" t="s">
        <v>373</v>
      </c>
      <c r="E188" s="13" t="n">
        <v>10</v>
      </c>
      <c r="F188" s="13" t="s">
        <v>380</v>
      </c>
      <c r="G188" s="13" t="s">
        <v>58</v>
      </c>
      <c r="H188" s="13" t="n">
        <v>91000</v>
      </c>
      <c r="I188" s="14" t="n">
        <v>72800</v>
      </c>
      <c r="J188" s="14" t="n">
        <f aca="false">E188*I188</f>
        <v>728000</v>
      </c>
      <c r="K188" s="15" t="n">
        <f aca="false">H188*80%</f>
        <v>72800</v>
      </c>
    </row>
    <row r="189" customFormat="false" ht="61.5" hidden="false" customHeight="true" outlineLevel="0" collapsed="false">
      <c r="A189" s="11" t="n">
        <v>188</v>
      </c>
      <c r="B189" s="12" t="s">
        <v>381</v>
      </c>
      <c r="C189" s="12" t="s">
        <v>382</v>
      </c>
      <c r="D189" s="11" t="s">
        <v>373</v>
      </c>
      <c r="E189" s="13" t="n">
        <v>10</v>
      </c>
      <c r="F189" s="13" t="s">
        <v>380</v>
      </c>
      <c r="G189" s="13" t="s">
        <v>58</v>
      </c>
      <c r="H189" s="13" t="n">
        <v>44000</v>
      </c>
      <c r="I189" s="14" t="n">
        <v>35200</v>
      </c>
      <c r="J189" s="14" t="n">
        <f aca="false">E189*I189</f>
        <v>352000</v>
      </c>
      <c r="K189" s="15" t="n">
        <f aca="false">H189*80%</f>
        <v>35200</v>
      </c>
    </row>
    <row r="190" customFormat="false" ht="66" hidden="false" customHeight="true" outlineLevel="0" collapsed="false">
      <c r="A190" s="11" t="n">
        <v>189</v>
      </c>
      <c r="B190" s="12" t="s">
        <v>383</v>
      </c>
      <c r="C190" s="12" t="s">
        <v>384</v>
      </c>
      <c r="D190" s="11" t="s">
        <v>385</v>
      </c>
      <c r="E190" s="13" t="n">
        <v>10</v>
      </c>
      <c r="F190" s="13" t="s">
        <v>386</v>
      </c>
      <c r="G190" s="13" t="s">
        <v>113</v>
      </c>
      <c r="H190" s="13" t="n">
        <v>100000</v>
      </c>
      <c r="I190" s="14" t="n">
        <v>80000</v>
      </c>
      <c r="J190" s="14" t="n">
        <f aca="false">E190*I190</f>
        <v>800000</v>
      </c>
      <c r="K190" s="15" t="n">
        <f aca="false">H190*80%</f>
        <v>80000</v>
      </c>
    </row>
    <row r="191" customFormat="false" ht="15.75" hidden="false" customHeight="false" outlineLevel="0" collapsed="false">
      <c r="A191" s="11" t="n">
        <v>190</v>
      </c>
      <c r="B191" s="12" t="s">
        <v>387</v>
      </c>
      <c r="C191" s="12"/>
      <c r="D191" s="11" t="s">
        <v>48</v>
      </c>
      <c r="E191" s="13" t="n">
        <v>68</v>
      </c>
      <c r="F191" s="13" t="s">
        <v>376</v>
      </c>
      <c r="G191" s="13" t="s">
        <v>377</v>
      </c>
      <c r="H191" s="13" t="n">
        <v>85000</v>
      </c>
      <c r="I191" s="14" t="n">
        <v>68000</v>
      </c>
      <c r="J191" s="14" t="n">
        <f aca="false">E191*I191</f>
        <v>4624000</v>
      </c>
      <c r="K191" s="15" t="n">
        <f aca="false">H191*80%</f>
        <v>68000</v>
      </c>
    </row>
    <row r="192" customFormat="false" ht="66.75" hidden="false" customHeight="true" outlineLevel="0" collapsed="false">
      <c r="A192" s="11" t="n">
        <v>191</v>
      </c>
      <c r="B192" s="12" t="s">
        <v>388</v>
      </c>
      <c r="C192" s="12" t="s">
        <v>389</v>
      </c>
      <c r="D192" s="11" t="s">
        <v>166</v>
      </c>
      <c r="E192" s="13" t="n">
        <v>20</v>
      </c>
      <c r="F192" s="13" t="s">
        <v>39</v>
      </c>
      <c r="G192" s="13" t="s">
        <v>14</v>
      </c>
      <c r="H192" s="13" t="n">
        <v>39000</v>
      </c>
      <c r="I192" s="14" t="n">
        <v>31200</v>
      </c>
      <c r="J192" s="14" t="n">
        <f aca="false">E192*I192</f>
        <v>624000</v>
      </c>
      <c r="K192" s="15" t="n">
        <f aca="false">H192*80%</f>
        <v>31200</v>
      </c>
    </row>
    <row r="193" customFormat="false" ht="112.5" hidden="false" customHeight="true" outlineLevel="0" collapsed="false">
      <c r="A193" s="11" t="n">
        <v>192</v>
      </c>
      <c r="B193" s="12" t="s">
        <v>390</v>
      </c>
      <c r="C193" s="12" t="s">
        <v>391</v>
      </c>
      <c r="D193" s="11" t="s">
        <v>48</v>
      </c>
      <c r="E193" s="13" t="n">
        <v>20</v>
      </c>
      <c r="F193" s="13" t="s">
        <v>39</v>
      </c>
      <c r="G193" s="13" t="s">
        <v>14</v>
      </c>
      <c r="H193" s="13" t="n">
        <v>80000</v>
      </c>
      <c r="I193" s="14" t="n">
        <v>64000</v>
      </c>
      <c r="J193" s="14" t="n">
        <f aca="false">E193*I193</f>
        <v>1280000</v>
      </c>
      <c r="K193" s="15" t="n">
        <f aca="false">H193*80%</f>
        <v>64000</v>
      </c>
    </row>
    <row r="194" customFormat="false" ht="72.75" hidden="false" customHeight="true" outlineLevel="0" collapsed="false">
      <c r="A194" s="11" t="n">
        <v>193</v>
      </c>
      <c r="B194" s="12" t="s">
        <v>392</v>
      </c>
      <c r="C194" s="12" t="s">
        <v>393</v>
      </c>
      <c r="D194" s="11" t="s">
        <v>48</v>
      </c>
      <c r="E194" s="13" t="n">
        <v>10</v>
      </c>
      <c r="F194" s="13" t="s">
        <v>51</v>
      </c>
      <c r="G194" s="13" t="s">
        <v>52</v>
      </c>
      <c r="H194" s="13" t="n">
        <v>91000</v>
      </c>
      <c r="I194" s="14" t="n">
        <v>72800</v>
      </c>
      <c r="J194" s="14" t="n">
        <f aca="false">E194*I194</f>
        <v>728000</v>
      </c>
      <c r="K194" s="15" t="n">
        <f aca="false">H194*80%</f>
        <v>72800</v>
      </c>
    </row>
    <row r="195" customFormat="false" ht="15.75" hidden="false" customHeight="true" outlineLevel="0" collapsed="false">
      <c r="A195" s="11" t="n">
        <v>194</v>
      </c>
      <c r="B195" s="12" t="s">
        <v>394</v>
      </c>
      <c r="C195" s="12" t="s">
        <v>395</v>
      </c>
      <c r="D195" s="11" t="s">
        <v>48</v>
      </c>
      <c r="E195" s="13" t="n">
        <v>10</v>
      </c>
      <c r="F195" s="13" t="s">
        <v>396</v>
      </c>
      <c r="G195" s="13" t="s">
        <v>113</v>
      </c>
      <c r="H195" s="13" t="n">
        <v>172000</v>
      </c>
      <c r="I195" s="14" t="n">
        <v>320000</v>
      </c>
      <c r="J195" s="14" t="n">
        <f aca="false">E195*I195</f>
        <v>3200000</v>
      </c>
      <c r="K195" s="15" t="n">
        <f aca="false">H195*80%</f>
        <v>137600</v>
      </c>
    </row>
    <row r="196" customFormat="false" ht="15.75" hidden="false" customHeight="true" outlineLevel="0" collapsed="false">
      <c r="A196" s="11" t="n">
        <v>195</v>
      </c>
      <c r="B196" s="12" t="s">
        <v>397</v>
      </c>
      <c r="C196" s="12"/>
      <c r="D196" s="11" t="s">
        <v>210</v>
      </c>
      <c r="E196" s="13" t="n">
        <v>50</v>
      </c>
      <c r="F196" s="13" t="s">
        <v>398</v>
      </c>
      <c r="G196" s="13" t="s">
        <v>58</v>
      </c>
      <c r="H196" s="13" t="n">
        <v>150000</v>
      </c>
      <c r="I196" s="14" t="n">
        <v>120000</v>
      </c>
      <c r="J196" s="14" t="n">
        <f aca="false">E196*I196</f>
        <v>6000000</v>
      </c>
      <c r="K196" s="15" t="n">
        <f aca="false">H196*80%</f>
        <v>120000</v>
      </c>
    </row>
    <row r="197" s="20" customFormat="true" ht="15.75" hidden="false" customHeight="false" outlineLevel="0" collapsed="false">
      <c r="A197" s="11" t="n">
        <v>196</v>
      </c>
      <c r="B197" s="27" t="s">
        <v>399</v>
      </c>
      <c r="C197" s="12"/>
      <c r="D197" s="22" t="s">
        <v>210</v>
      </c>
      <c r="E197" s="19" t="n">
        <v>20</v>
      </c>
      <c r="F197" s="19" t="s">
        <v>400</v>
      </c>
      <c r="G197" s="19" t="s">
        <v>14</v>
      </c>
      <c r="H197" s="19" t="n">
        <v>155000</v>
      </c>
      <c r="I197" s="14" t="n">
        <v>124000</v>
      </c>
      <c r="J197" s="14" t="n">
        <f aca="false">E197*I197</f>
        <v>2480000</v>
      </c>
      <c r="K197" s="15" t="n">
        <f aca="false">H197*80%</f>
        <v>124000</v>
      </c>
      <c r="L197" s="0"/>
    </row>
    <row r="198" s="20" customFormat="true" ht="52.2" hidden="false" customHeight="false" outlineLevel="0" collapsed="false">
      <c r="A198" s="11" t="n">
        <v>197</v>
      </c>
      <c r="B198" s="27" t="s">
        <v>401</v>
      </c>
      <c r="C198" s="12" t="s">
        <v>402</v>
      </c>
      <c r="D198" s="22" t="s">
        <v>403</v>
      </c>
      <c r="E198" s="19" t="n">
        <v>4</v>
      </c>
      <c r="F198" s="19" t="s">
        <v>39</v>
      </c>
      <c r="G198" s="19" t="s">
        <v>58</v>
      </c>
      <c r="H198" s="19" t="n">
        <v>37000</v>
      </c>
      <c r="I198" s="14" t="n">
        <v>29600</v>
      </c>
      <c r="J198" s="14" t="n">
        <f aca="false">E198*I198</f>
        <v>118400</v>
      </c>
      <c r="K198" s="15" t="n">
        <f aca="false">H198*80%</f>
        <v>29600</v>
      </c>
      <c r="L198" s="0"/>
    </row>
    <row r="199" customFormat="false" ht="136.5" hidden="false" customHeight="true" outlineLevel="0" collapsed="false">
      <c r="A199" s="11" t="n">
        <v>198</v>
      </c>
      <c r="B199" s="12" t="s">
        <v>404</v>
      </c>
      <c r="C199" s="12" t="s">
        <v>405</v>
      </c>
      <c r="D199" s="11" t="s">
        <v>48</v>
      </c>
      <c r="E199" s="13" t="n">
        <v>18</v>
      </c>
      <c r="F199" s="13" t="s">
        <v>51</v>
      </c>
      <c r="G199" s="13" t="s">
        <v>52</v>
      </c>
      <c r="H199" s="13" t="n">
        <v>580000</v>
      </c>
      <c r="I199" s="14" t="n">
        <v>510000</v>
      </c>
      <c r="J199" s="14" t="n">
        <f aca="false">E199*I199</f>
        <v>9180000</v>
      </c>
      <c r="K199" s="15" t="n">
        <f aca="false">H199*80%</f>
        <v>464000</v>
      </c>
    </row>
    <row r="200" customFormat="false" ht="141" hidden="false" customHeight="true" outlineLevel="0" collapsed="false">
      <c r="A200" s="11" t="n">
        <v>199</v>
      </c>
      <c r="B200" s="12" t="s">
        <v>406</v>
      </c>
      <c r="C200" s="12" t="s">
        <v>407</v>
      </c>
      <c r="D200" s="11" t="s">
        <v>110</v>
      </c>
      <c r="E200" s="13" t="n">
        <v>2</v>
      </c>
      <c r="F200" s="13" t="s">
        <v>408</v>
      </c>
      <c r="G200" s="13" t="s">
        <v>14</v>
      </c>
      <c r="H200" s="13" t="n">
        <v>1890000</v>
      </c>
      <c r="I200" s="14" t="n">
        <v>1512000</v>
      </c>
      <c r="J200" s="14" t="n">
        <f aca="false">E200*I200</f>
        <v>3024000</v>
      </c>
      <c r="K200" s="15" t="n">
        <f aca="false">H200*80%</f>
        <v>1512000</v>
      </c>
    </row>
    <row r="201" customFormat="false" ht="232.5" hidden="false" customHeight="true" outlineLevel="0" collapsed="false">
      <c r="A201" s="11" t="n">
        <v>200</v>
      </c>
      <c r="B201" s="12" t="s">
        <v>409</v>
      </c>
      <c r="C201" s="12" t="s">
        <v>410</v>
      </c>
      <c r="D201" s="11" t="s">
        <v>110</v>
      </c>
      <c r="E201" s="13" t="n">
        <v>2</v>
      </c>
      <c r="F201" s="13" t="s">
        <v>411</v>
      </c>
      <c r="G201" s="13" t="s">
        <v>58</v>
      </c>
      <c r="H201" s="13" t="n">
        <v>3650000</v>
      </c>
      <c r="I201" s="14" t="n">
        <v>2920000</v>
      </c>
      <c r="J201" s="14" t="n">
        <f aca="false">E201*I201</f>
        <v>5840000</v>
      </c>
      <c r="K201" s="15" t="n">
        <f aca="false">H201*80%</f>
        <v>2920000</v>
      </c>
    </row>
    <row r="202" customFormat="false" ht="117.75" hidden="false" customHeight="true" outlineLevel="0" collapsed="false">
      <c r="A202" s="11" t="n">
        <v>201</v>
      </c>
      <c r="B202" s="12" t="s">
        <v>412</v>
      </c>
      <c r="C202" s="12" t="s">
        <v>413</v>
      </c>
      <c r="D202" s="11" t="s">
        <v>118</v>
      </c>
      <c r="E202" s="13" t="n">
        <v>2</v>
      </c>
      <c r="F202" s="13" t="s">
        <v>129</v>
      </c>
      <c r="G202" s="13" t="s">
        <v>14</v>
      </c>
      <c r="H202" s="13" t="n">
        <v>860000</v>
      </c>
      <c r="I202" s="14" t="n">
        <v>780000</v>
      </c>
      <c r="J202" s="14" t="n">
        <f aca="false">E202*I202</f>
        <v>1560000</v>
      </c>
      <c r="K202" s="15" t="n">
        <f aca="false">H202*80%</f>
        <v>688000</v>
      </c>
    </row>
    <row r="203" customFormat="false" ht="94.5" hidden="false" customHeight="true" outlineLevel="0" collapsed="false">
      <c r="A203" s="11" t="n">
        <v>202</v>
      </c>
      <c r="B203" s="12" t="s">
        <v>414</v>
      </c>
      <c r="C203" s="12" t="s">
        <v>415</v>
      </c>
      <c r="D203" s="11" t="s">
        <v>118</v>
      </c>
      <c r="E203" s="13" t="n">
        <v>2</v>
      </c>
      <c r="F203" s="13" t="s">
        <v>129</v>
      </c>
      <c r="G203" s="13" t="s">
        <v>14</v>
      </c>
      <c r="H203" s="13" t="n">
        <v>910000</v>
      </c>
      <c r="I203" s="14" t="n">
        <v>830000</v>
      </c>
      <c r="J203" s="14" t="n">
        <f aca="false">E203*I203</f>
        <v>1660000</v>
      </c>
      <c r="K203" s="15" t="n">
        <f aca="false">H203*80%</f>
        <v>728000</v>
      </c>
    </row>
    <row r="204" customFormat="false" ht="15.75" hidden="false" customHeight="true" outlineLevel="0" collapsed="false">
      <c r="A204" s="11" t="n">
        <v>203</v>
      </c>
      <c r="B204" s="12" t="s">
        <v>416</v>
      </c>
      <c r="C204" s="12"/>
      <c r="D204" s="11" t="s">
        <v>118</v>
      </c>
      <c r="E204" s="13" t="n">
        <v>3</v>
      </c>
      <c r="F204" s="13" t="s">
        <v>129</v>
      </c>
      <c r="G204" s="13" t="s">
        <v>14</v>
      </c>
      <c r="H204" s="13" t="n">
        <v>1050000</v>
      </c>
      <c r="I204" s="14" t="n">
        <v>935000</v>
      </c>
      <c r="J204" s="14" t="n">
        <f aca="false">E204*I204</f>
        <v>2805000</v>
      </c>
      <c r="K204" s="15" t="n">
        <f aca="false">H204*80%</f>
        <v>840000</v>
      </c>
    </row>
    <row r="205" customFormat="false" ht="15.75" hidden="false" customHeight="true" outlineLevel="0" collapsed="false">
      <c r="A205" s="11" t="n">
        <v>204</v>
      </c>
      <c r="B205" s="12" t="s">
        <v>417</v>
      </c>
      <c r="C205" s="12"/>
      <c r="D205" s="11" t="s">
        <v>118</v>
      </c>
      <c r="E205" s="13" t="n">
        <v>3</v>
      </c>
      <c r="F205" s="13" t="s">
        <v>129</v>
      </c>
      <c r="G205" s="13" t="s">
        <v>14</v>
      </c>
      <c r="H205" s="13" t="n">
        <v>1200000</v>
      </c>
      <c r="I205" s="14" t="n">
        <v>1152000</v>
      </c>
      <c r="J205" s="14" t="n">
        <f aca="false">E205*I205</f>
        <v>3456000</v>
      </c>
      <c r="K205" s="15" t="n">
        <f aca="false">H205*80%</f>
        <v>960000</v>
      </c>
    </row>
    <row r="206" s="20" customFormat="true" ht="15.75" hidden="false" customHeight="false" outlineLevel="0" collapsed="false">
      <c r="A206" s="11" t="n">
        <v>205</v>
      </c>
      <c r="B206" s="31" t="s">
        <v>418</v>
      </c>
      <c r="C206" s="12"/>
      <c r="D206" s="22" t="s">
        <v>118</v>
      </c>
      <c r="E206" s="19" t="n">
        <v>2</v>
      </c>
      <c r="F206" s="19"/>
      <c r="G206" s="19"/>
      <c r="H206" s="19"/>
      <c r="I206" s="14" t="n">
        <v>450000</v>
      </c>
      <c r="J206" s="14" t="n">
        <f aca="false">E206*I206</f>
        <v>900000</v>
      </c>
      <c r="K206" s="15" t="n">
        <f aca="false">H206*80%</f>
        <v>0</v>
      </c>
      <c r="L206" s="0"/>
    </row>
    <row r="207" customFormat="false" ht="165" hidden="false" customHeight="true" outlineLevel="0" collapsed="false">
      <c r="A207" s="11" t="n">
        <v>206</v>
      </c>
      <c r="B207" s="12" t="s">
        <v>419</v>
      </c>
      <c r="C207" s="12" t="s">
        <v>420</v>
      </c>
      <c r="D207" s="11" t="s">
        <v>118</v>
      </c>
      <c r="E207" s="13" t="n">
        <v>2</v>
      </c>
      <c r="F207" s="13" t="s">
        <v>129</v>
      </c>
      <c r="G207" s="13" t="s">
        <v>14</v>
      </c>
      <c r="H207" s="13" t="n">
        <v>1050000</v>
      </c>
      <c r="I207" s="14" t="n">
        <v>1050000</v>
      </c>
      <c r="J207" s="14" t="n">
        <f aca="false">E207*I207</f>
        <v>2100000</v>
      </c>
      <c r="K207" s="15" t="n">
        <f aca="false">H207*80%</f>
        <v>840000</v>
      </c>
    </row>
    <row r="208" customFormat="false" ht="15.75" hidden="false" customHeight="true" outlineLevel="0" collapsed="false">
      <c r="A208" s="11" t="n">
        <v>207</v>
      </c>
      <c r="B208" s="18" t="s">
        <v>421</v>
      </c>
      <c r="C208" s="12"/>
      <c r="D208" s="11" t="s">
        <v>118</v>
      </c>
      <c r="E208" s="13" t="n">
        <v>2</v>
      </c>
      <c r="F208" s="13" t="s">
        <v>129</v>
      </c>
      <c r="G208" s="13" t="s">
        <v>14</v>
      </c>
      <c r="H208" s="13" t="n">
        <v>1150000</v>
      </c>
      <c r="I208" s="14" t="n">
        <v>1100000</v>
      </c>
      <c r="J208" s="14" t="n">
        <f aca="false">E208*I208</f>
        <v>2200000</v>
      </c>
      <c r="K208" s="15" t="n">
        <f aca="false">H208*80%</f>
        <v>920000</v>
      </c>
    </row>
    <row r="209" customFormat="false" ht="123.75" hidden="false" customHeight="true" outlineLevel="0" collapsed="false">
      <c r="A209" s="11" t="n">
        <v>208</v>
      </c>
      <c r="B209" s="12" t="s">
        <v>422</v>
      </c>
      <c r="C209" s="12" t="s">
        <v>423</v>
      </c>
      <c r="D209" s="11" t="s">
        <v>118</v>
      </c>
      <c r="E209" s="13" t="n">
        <v>2</v>
      </c>
      <c r="F209" s="13" t="s">
        <v>129</v>
      </c>
      <c r="G209" s="13" t="s">
        <v>14</v>
      </c>
      <c r="H209" s="13" t="n">
        <v>5400000</v>
      </c>
      <c r="I209" s="14" t="n">
        <v>4700000</v>
      </c>
      <c r="J209" s="14" t="n">
        <f aca="false">E209*I209</f>
        <v>9400000</v>
      </c>
      <c r="K209" s="15" t="n">
        <f aca="false">H209*80%</f>
        <v>4320000</v>
      </c>
    </row>
    <row r="210" customFormat="false" ht="141.75" hidden="false" customHeight="true" outlineLevel="0" collapsed="false">
      <c r="A210" s="11" t="n">
        <v>209</v>
      </c>
      <c r="B210" s="12" t="s">
        <v>424</v>
      </c>
      <c r="C210" s="12" t="s">
        <v>425</v>
      </c>
      <c r="D210" s="11" t="s">
        <v>118</v>
      </c>
      <c r="E210" s="13" t="n">
        <v>5</v>
      </c>
      <c r="F210" s="13" t="s">
        <v>263</v>
      </c>
      <c r="G210" s="13" t="s">
        <v>113</v>
      </c>
      <c r="H210" s="13" t="n">
        <v>5900000</v>
      </c>
      <c r="I210" s="14" t="n">
        <v>5200000</v>
      </c>
      <c r="J210" s="14" t="n">
        <f aca="false">E210*I210</f>
        <v>26000000</v>
      </c>
      <c r="K210" s="15" t="n">
        <f aca="false">H210*80%</f>
        <v>4720000</v>
      </c>
    </row>
    <row r="211" customFormat="false" ht="136.5" hidden="false" customHeight="true" outlineLevel="0" collapsed="false">
      <c r="A211" s="11" t="n">
        <v>210</v>
      </c>
      <c r="B211" s="12" t="s">
        <v>426</v>
      </c>
      <c r="C211" s="12" t="s">
        <v>427</v>
      </c>
      <c r="D211" s="11" t="s">
        <v>118</v>
      </c>
      <c r="E211" s="13" t="n">
        <v>5</v>
      </c>
      <c r="F211" s="13" t="s">
        <v>339</v>
      </c>
      <c r="G211" s="13" t="s">
        <v>14</v>
      </c>
      <c r="H211" s="13" t="n">
        <v>1350000</v>
      </c>
      <c r="I211" s="14" t="n">
        <v>1080000</v>
      </c>
      <c r="J211" s="14" t="n">
        <f aca="false">E211*I211</f>
        <v>5400000</v>
      </c>
      <c r="K211" s="15" t="n">
        <f aca="false">H211*80%</f>
        <v>1080000</v>
      </c>
    </row>
    <row r="212" customFormat="false" ht="279" hidden="false" customHeight="true" outlineLevel="0" collapsed="false">
      <c r="A212" s="11" t="n">
        <v>211</v>
      </c>
      <c r="B212" s="18" t="s">
        <v>428</v>
      </c>
      <c r="C212" s="12" t="s">
        <v>429</v>
      </c>
      <c r="D212" s="11" t="s">
        <v>46</v>
      </c>
      <c r="E212" s="13" t="n">
        <v>3</v>
      </c>
      <c r="F212" s="13" t="s">
        <v>430</v>
      </c>
      <c r="G212" s="13" t="s">
        <v>14</v>
      </c>
      <c r="H212" s="13"/>
      <c r="I212" s="14" t="n">
        <v>330000</v>
      </c>
      <c r="J212" s="14" t="n">
        <f aca="false">E212*I212</f>
        <v>990000</v>
      </c>
      <c r="K212" s="15" t="n">
        <f aca="false">H212*80%</f>
        <v>0</v>
      </c>
    </row>
    <row r="213" customFormat="false" ht="15.75" hidden="false" customHeight="true" outlineLevel="0" collapsed="false">
      <c r="A213" s="11" t="n">
        <v>212</v>
      </c>
      <c r="B213" s="18" t="s">
        <v>431</v>
      </c>
      <c r="C213" s="12"/>
      <c r="D213" s="11" t="s">
        <v>432</v>
      </c>
      <c r="E213" s="13" t="n">
        <v>2</v>
      </c>
      <c r="F213" s="13"/>
      <c r="G213" s="13" t="s">
        <v>14</v>
      </c>
      <c r="H213" s="13" t="n">
        <v>40000</v>
      </c>
      <c r="I213" s="14" t="n">
        <v>40000</v>
      </c>
      <c r="J213" s="14" t="n">
        <f aca="false">E213*I213</f>
        <v>80000</v>
      </c>
      <c r="K213" s="15" t="n">
        <f aca="false">H213*80%</f>
        <v>32000</v>
      </c>
    </row>
    <row r="214" customFormat="false" ht="153" hidden="false" customHeight="true" outlineLevel="0" collapsed="false">
      <c r="A214" s="11" t="n">
        <v>213</v>
      </c>
      <c r="B214" s="18" t="s">
        <v>433</v>
      </c>
      <c r="C214" s="12" t="s">
        <v>434</v>
      </c>
      <c r="D214" s="11" t="s">
        <v>46</v>
      </c>
      <c r="E214" s="13" t="n">
        <v>200</v>
      </c>
      <c r="F214" s="13" t="s">
        <v>39</v>
      </c>
      <c r="G214" s="13" t="s">
        <v>58</v>
      </c>
      <c r="H214" s="13" t="n">
        <v>10000</v>
      </c>
      <c r="I214" s="14" t="n">
        <v>8000</v>
      </c>
      <c r="J214" s="14" t="n">
        <f aca="false">E214*I214</f>
        <v>1600000</v>
      </c>
      <c r="K214" s="15" t="n">
        <f aca="false">H214*80%</f>
        <v>8000</v>
      </c>
    </row>
    <row r="215" customFormat="false" ht="15.75" hidden="false" customHeight="true" outlineLevel="0" collapsed="false">
      <c r="A215" s="11" t="n">
        <v>214</v>
      </c>
      <c r="B215" s="18" t="s">
        <v>433</v>
      </c>
      <c r="C215" s="12"/>
      <c r="D215" s="11" t="s">
        <v>46</v>
      </c>
      <c r="E215" s="13" t="n">
        <v>10</v>
      </c>
      <c r="F215" s="13"/>
      <c r="G215" s="13" t="s">
        <v>58</v>
      </c>
      <c r="H215" s="13" t="n">
        <v>11000</v>
      </c>
      <c r="I215" s="14" t="n">
        <v>8800</v>
      </c>
      <c r="J215" s="14" t="n">
        <f aca="false">E215*I215</f>
        <v>88000</v>
      </c>
      <c r="K215" s="15" t="n">
        <f aca="false">H215*80%</f>
        <v>8800</v>
      </c>
    </row>
    <row r="216" customFormat="false" ht="15.75" hidden="false" customHeight="true" outlineLevel="0" collapsed="false">
      <c r="A216" s="11" t="n">
        <v>215</v>
      </c>
      <c r="B216" s="18" t="s">
        <v>433</v>
      </c>
      <c r="C216" s="12"/>
      <c r="D216" s="11" t="s">
        <v>46</v>
      </c>
      <c r="E216" s="13" t="n">
        <v>10</v>
      </c>
      <c r="F216" s="13"/>
      <c r="G216" s="13" t="s">
        <v>58</v>
      </c>
      <c r="H216" s="13" t="n">
        <v>12000</v>
      </c>
      <c r="I216" s="14" t="n">
        <v>9000</v>
      </c>
      <c r="J216" s="14" t="n">
        <f aca="false">E216*I216</f>
        <v>90000</v>
      </c>
      <c r="K216" s="15" t="n">
        <f aca="false">H216*80%</f>
        <v>9600</v>
      </c>
    </row>
    <row r="217" customFormat="false" ht="15.75" hidden="false" customHeight="true" outlineLevel="0" collapsed="false">
      <c r="A217" s="11" t="n">
        <v>216</v>
      </c>
      <c r="B217" s="18" t="s">
        <v>433</v>
      </c>
      <c r="C217" s="12"/>
      <c r="D217" s="11" t="s">
        <v>46</v>
      </c>
      <c r="E217" s="13" t="n">
        <v>10</v>
      </c>
      <c r="F217" s="13"/>
      <c r="G217" s="13" t="s">
        <v>58</v>
      </c>
      <c r="H217" s="13" t="n">
        <v>14000</v>
      </c>
      <c r="I217" s="14" t="n">
        <v>11200</v>
      </c>
      <c r="J217" s="14" t="n">
        <f aca="false">E217*I217</f>
        <v>112000</v>
      </c>
      <c r="K217" s="15" t="n">
        <f aca="false">H217*80%</f>
        <v>11200</v>
      </c>
    </row>
    <row r="218" customFormat="false" ht="15.75" hidden="false" customHeight="true" outlineLevel="0" collapsed="false">
      <c r="A218" s="11" t="n">
        <v>217</v>
      </c>
      <c r="B218" s="18" t="s">
        <v>435</v>
      </c>
      <c r="C218" s="12"/>
      <c r="D218" s="11" t="s">
        <v>46</v>
      </c>
      <c r="E218" s="13" t="n">
        <v>100</v>
      </c>
      <c r="F218" s="13" t="s">
        <v>39</v>
      </c>
      <c r="G218" s="13" t="s">
        <v>14</v>
      </c>
      <c r="H218" s="13" t="n">
        <v>2000</v>
      </c>
      <c r="I218" s="14" t="n">
        <v>1000</v>
      </c>
      <c r="J218" s="14" t="n">
        <f aca="false">E218*I218</f>
        <v>100000</v>
      </c>
      <c r="K218" s="15" t="n">
        <f aca="false">H218*80%</f>
        <v>1600</v>
      </c>
    </row>
    <row r="219" customFormat="false" ht="207" hidden="false" customHeight="true" outlineLevel="0" collapsed="false">
      <c r="A219" s="11" t="n">
        <v>218</v>
      </c>
      <c r="B219" s="12" t="s">
        <v>436</v>
      </c>
      <c r="C219" s="12" t="s">
        <v>437</v>
      </c>
      <c r="D219" s="11" t="s">
        <v>46</v>
      </c>
      <c r="E219" s="13" t="n">
        <v>30</v>
      </c>
      <c r="F219" s="13" t="s">
        <v>39</v>
      </c>
      <c r="G219" s="13" t="s">
        <v>14</v>
      </c>
      <c r="H219" s="13" t="n">
        <v>150000</v>
      </c>
      <c r="I219" s="14" t="n">
        <v>15000</v>
      </c>
      <c r="J219" s="14" t="n">
        <f aca="false">E219*I219</f>
        <v>450000</v>
      </c>
      <c r="K219" s="15" t="n">
        <f aca="false">H219*80%</f>
        <v>120000</v>
      </c>
    </row>
    <row r="220" customFormat="false" ht="97.5" hidden="false" customHeight="true" outlineLevel="0" collapsed="false">
      <c r="A220" s="11" t="n">
        <v>219</v>
      </c>
      <c r="B220" s="18" t="s">
        <v>438</v>
      </c>
      <c r="C220" s="12" t="s">
        <v>439</v>
      </c>
      <c r="D220" s="11" t="s">
        <v>46</v>
      </c>
      <c r="E220" s="13" t="n">
        <v>50</v>
      </c>
      <c r="F220" s="13" t="s">
        <v>39</v>
      </c>
      <c r="G220" s="13" t="s">
        <v>14</v>
      </c>
      <c r="H220" s="13" t="n">
        <v>15000</v>
      </c>
      <c r="I220" s="14" t="n">
        <v>12000</v>
      </c>
      <c r="J220" s="14" t="n">
        <f aca="false">E220*I220</f>
        <v>600000</v>
      </c>
      <c r="K220" s="15" t="n">
        <f aca="false">H220*80%</f>
        <v>12000</v>
      </c>
    </row>
    <row r="221" customFormat="false" ht="126" hidden="false" customHeight="true" outlineLevel="0" collapsed="false">
      <c r="A221" s="11" t="n">
        <v>220</v>
      </c>
      <c r="B221" s="18" t="s">
        <v>440</v>
      </c>
      <c r="C221" s="12" t="s">
        <v>441</v>
      </c>
      <c r="D221" s="11" t="s">
        <v>46</v>
      </c>
      <c r="E221" s="13" t="n">
        <v>5</v>
      </c>
      <c r="F221" s="13" t="s">
        <v>442</v>
      </c>
      <c r="G221" s="13" t="s">
        <v>14</v>
      </c>
      <c r="H221" s="13" t="n">
        <v>272000</v>
      </c>
      <c r="I221" s="14" t="n">
        <v>250000</v>
      </c>
      <c r="J221" s="14" t="n">
        <f aca="false">E221*I221</f>
        <v>1250000</v>
      </c>
      <c r="K221" s="15" t="n">
        <f aca="false">H221*80%</f>
        <v>217600</v>
      </c>
    </row>
    <row r="222" customFormat="false" ht="49.5" hidden="false" customHeight="true" outlineLevel="0" collapsed="false">
      <c r="A222" s="11" t="n">
        <v>221</v>
      </c>
      <c r="B222" s="12" t="s">
        <v>443</v>
      </c>
      <c r="C222" s="12" t="s">
        <v>444</v>
      </c>
      <c r="D222" s="11" t="s">
        <v>48</v>
      </c>
      <c r="E222" s="13" t="n">
        <v>50</v>
      </c>
      <c r="F222" s="13" t="s">
        <v>39</v>
      </c>
      <c r="G222" s="13" t="s">
        <v>14</v>
      </c>
      <c r="H222" s="13" t="n">
        <v>6000</v>
      </c>
      <c r="I222" s="14" t="n">
        <v>4800</v>
      </c>
      <c r="J222" s="14" t="n">
        <f aca="false">E222*I222</f>
        <v>240000</v>
      </c>
      <c r="K222" s="15" t="n">
        <f aca="false">H222*80%</f>
        <v>4800</v>
      </c>
    </row>
    <row r="223" customFormat="false" ht="39.55" hidden="false" customHeight="false" outlineLevel="0" collapsed="false">
      <c r="A223" s="11" t="n">
        <v>222</v>
      </c>
      <c r="B223" s="12" t="s">
        <v>445</v>
      </c>
      <c r="C223" s="12" t="s">
        <v>444</v>
      </c>
      <c r="D223" s="11" t="s">
        <v>48</v>
      </c>
      <c r="E223" s="13" t="n">
        <v>200</v>
      </c>
      <c r="F223" s="13" t="s">
        <v>39</v>
      </c>
      <c r="G223" s="13" t="s">
        <v>14</v>
      </c>
      <c r="H223" s="13" t="n">
        <v>6000</v>
      </c>
      <c r="I223" s="14" t="n">
        <v>4800</v>
      </c>
      <c r="J223" s="14" t="n">
        <f aca="false">E223*I223</f>
        <v>960000</v>
      </c>
      <c r="K223" s="15" t="n">
        <f aca="false">H223*80%</f>
        <v>4800</v>
      </c>
    </row>
    <row r="224" customFormat="false" ht="15.75" hidden="false" customHeight="true" outlineLevel="0" collapsed="false">
      <c r="A224" s="11" t="n">
        <v>223</v>
      </c>
      <c r="B224" s="12" t="s">
        <v>446</v>
      </c>
      <c r="C224" s="12"/>
      <c r="D224" s="11" t="s">
        <v>48</v>
      </c>
      <c r="E224" s="13" t="n">
        <v>15</v>
      </c>
      <c r="F224" s="13" t="s">
        <v>39</v>
      </c>
      <c r="G224" s="13" t="s">
        <v>14</v>
      </c>
      <c r="H224" s="13" t="n">
        <v>69000</v>
      </c>
      <c r="I224" s="14" t="n">
        <v>55200</v>
      </c>
      <c r="J224" s="14" t="n">
        <f aca="false">E224*I224</f>
        <v>828000</v>
      </c>
      <c r="K224" s="15" t="n">
        <f aca="false">H224*80%</f>
        <v>55200</v>
      </c>
    </row>
    <row r="225" customFormat="false" ht="15.75" hidden="false" customHeight="true" outlineLevel="0" collapsed="false">
      <c r="A225" s="11" t="n">
        <v>224</v>
      </c>
      <c r="B225" s="12" t="s">
        <v>447</v>
      </c>
      <c r="C225" s="12"/>
      <c r="D225" s="11" t="s">
        <v>48</v>
      </c>
      <c r="E225" s="13" t="n">
        <v>15</v>
      </c>
      <c r="F225" s="13" t="s">
        <v>39</v>
      </c>
      <c r="G225" s="13" t="s">
        <v>14</v>
      </c>
      <c r="H225" s="13" t="n">
        <v>75000</v>
      </c>
      <c r="I225" s="14" t="n">
        <v>60000</v>
      </c>
      <c r="J225" s="14" t="n">
        <f aca="false">E225*I225</f>
        <v>900000</v>
      </c>
      <c r="K225" s="15" t="n">
        <f aca="false">H225*80%</f>
        <v>60000</v>
      </c>
    </row>
    <row r="226" customFormat="false" ht="15.75" hidden="false" customHeight="true" outlineLevel="0" collapsed="false">
      <c r="A226" s="11" t="n">
        <v>225</v>
      </c>
      <c r="B226" s="12" t="s">
        <v>448</v>
      </c>
      <c r="C226" s="12"/>
      <c r="D226" s="11" t="s">
        <v>48</v>
      </c>
      <c r="E226" s="13" t="n">
        <v>15</v>
      </c>
      <c r="F226" s="13" t="s">
        <v>39</v>
      </c>
      <c r="G226" s="13" t="s">
        <v>14</v>
      </c>
      <c r="H226" s="13" t="n">
        <v>90000</v>
      </c>
      <c r="I226" s="14" t="n">
        <v>72000</v>
      </c>
      <c r="J226" s="14" t="n">
        <f aca="false">E226*I226</f>
        <v>1080000</v>
      </c>
      <c r="K226" s="15" t="n">
        <f aca="false">H226*80%</f>
        <v>72000</v>
      </c>
    </row>
    <row r="227" customFormat="false" ht="15.75" hidden="false" customHeight="true" outlineLevel="0" collapsed="false">
      <c r="A227" s="11" t="n">
        <v>226</v>
      </c>
      <c r="B227" s="18" t="s">
        <v>449</v>
      </c>
      <c r="C227" s="12"/>
      <c r="D227" s="11" t="s">
        <v>46</v>
      </c>
      <c r="E227" s="13" t="n">
        <v>100</v>
      </c>
      <c r="F227" s="13" t="s">
        <v>39</v>
      </c>
      <c r="G227" s="13" t="s">
        <v>14</v>
      </c>
      <c r="H227" s="13" t="n">
        <v>10000</v>
      </c>
      <c r="I227" s="14" t="n">
        <v>8000</v>
      </c>
      <c r="J227" s="14" t="n">
        <f aca="false">E227*I227</f>
        <v>800000</v>
      </c>
      <c r="K227" s="15" t="n">
        <f aca="false">H227*80%</f>
        <v>8000</v>
      </c>
    </row>
    <row r="228" customFormat="false" ht="15.75" hidden="false" customHeight="true" outlineLevel="0" collapsed="false">
      <c r="A228" s="11" t="n">
        <v>227</v>
      </c>
      <c r="B228" s="18" t="s">
        <v>450</v>
      </c>
      <c r="C228" s="12"/>
      <c r="D228" s="11" t="s">
        <v>46</v>
      </c>
      <c r="E228" s="13" t="n">
        <v>100</v>
      </c>
      <c r="F228" s="13" t="s">
        <v>39</v>
      </c>
      <c r="G228" s="13" t="s">
        <v>14</v>
      </c>
      <c r="H228" s="13" t="n">
        <v>15000</v>
      </c>
      <c r="I228" s="14" t="n">
        <v>12000</v>
      </c>
      <c r="J228" s="14" t="n">
        <f aca="false">E228*I228</f>
        <v>1200000</v>
      </c>
      <c r="K228" s="15" t="n">
        <f aca="false">H228*80%</f>
        <v>12000</v>
      </c>
    </row>
    <row r="229" customFormat="false" ht="30.75" hidden="false" customHeight="true" outlineLevel="0" collapsed="false">
      <c r="A229" s="11" t="n">
        <v>228</v>
      </c>
      <c r="B229" s="18" t="s">
        <v>451</v>
      </c>
      <c r="C229" s="12" t="s">
        <v>452</v>
      </c>
      <c r="D229" s="11" t="s">
        <v>166</v>
      </c>
      <c r="E229" s="13" t="n">
        <v>1</v>
      </c>
      <c r="F229" s="13" t="s">
        <v>96</v>
      </c>
      <c r="G229" s="13" t="s">
        <v>113</v>
      </c>
      <c r="H229" s="13" t="n">
        <v>3400000</v>
      </c>
      <c r="I229" s="14" t="n">
        <v>2950000</v>
      </c>
      <c r="J229" s="14" t="n">
        <f aca="false">E229*I229</f>
        <v>2950000</v>
      </c>
      <c r="K229" s="15" t="n">
        <f aca="false">H229*80%</f>
        <v>2720000</v>
      </c>
    </row>
    <row r="230" customFormat="false" ht="30.75" hidden="false" customHeight="true" outlineLevel="0" collapsed="false">
      <c r="A230" s="11" t="n">
        <v>229</v>
      </c>
      <c r="B230" s="18" t="s">
        <v>453</v>
      </c>
      <c r="C230" s="12" t="s">
        <v>454</v>
      </c>
      <c r="D230" s="11" t="s">
        <v>166</v>
      </c>
      <c r="E230" s="13" t="n">
        <v>1</v>
      </c>
      <c r="F230" s="13" t="s">
        <v>455</v>
      </c>
      <c r="G230" s="13" t="s">
        <v>113</v>
      </c>
      <c r="H230" s="13" t="n">
        <v>4350000</v>
      </c>
      <c r="I230" s="14" t="n">
        <v>3650000</v>
      </c>
      <c r="J230" s="14" t="n">
        <f aca="false">E230*I230</f>
        <v>3650000</v>
      </c>
      <c r="K230" s="15" t="n">
        <f aca="false">H230*80%</f>
        <v>3480000</v>
      </c>
    </row>
    <row r="231" s="20" customFormat="true" ht="117.75" hidden="false" customHeight="true" outlineLevel="0" collapsed="false">
      <c r="A231" s="11" t="n">
        <v>230</v>
      </c>
      <c r="B231" s="12" t="s">
        <v>456</v>
      </c>
      <c r="C231" s="18"/>
      <c r="D231" s="11" t="s">
        <v>118</v>
      </c>
      <c r="E231" s="13" t="n">
        <v>6</v>
      </c>
      <c r="F231" s="13" t="s">
        <v>457</v>
      </c>
      <c r="G231" s="13" t="s">
        <v>100</v>
      </c>
      <c r="H231" s="13" t="n">
        <v>3250000</v>
      </c>
      <c r="I231" s="14" t="n">
        <v>2600000</v>
      </c>
      <c r="J231" s="14" t="n">
        <f aca="false">E231*I231</f>
        <v>15600000</v>
      </c>
      <c r="K231" s="15" t="n">
        <f aca="false">H231*80%</f>
        <v>2600000</v>
      </c>
      <c r="L231" s="0"/>
    </row>
    <row r="232" s="20" customFormat="true" ht="15.75" hidden="false" customHeight="false" outlineLevel="0" collapsed="false">
      <c r="A232" s="11" t="n">
        <v>231</v>
      </c>
      <c r="B232" s="12" t="s">
        <v>458</v>
      </c>
      <c r="C232" s="18"/>
      <c r="D232" s="11" t="s">
        <v>48</v>
      </c>
      <c r="E232" s="13" t="n">
        <v>6</v>
      </c>
      <c r="F232" s="13" t="s">
        <v>459</v>
      </c>
      <c r="G232" s="13" t="s">
        <v>52</v>
      </c>
      <c r="H232" s="13" t="n">
        <v>820000</v>
      </c>
      <c r="I232" s="14" t="n">
        <v>656000</v>
      </c>
      <c r="J232" s="14" t="n">
        <f aca="false">E232*I232</f>
        <v>3936000</v>
      </c>
      <c r="K232" s="15" t="n">
        <f aca="false">H232*80%</f>
        <v>656000</v>
      </c>
      <c r="L232" s="0"/>
    </row>
    <row r="233" s="20" customFormat="true" ht="15.75" hidden="false" customHeight="false" outlineLevel="0" collapsed="false">
      <c r="A233" s="11" t="n">
        <v>232</v>
      </c>
      <c r="B233" s="12" t="s">
        <v>460</v>
      </c>
      <c r="C233" s="18"/>
      <c r="D233" s="11" t="s">
        <v>48</v>
      </c>
      <c r="E233" s="13" t="n">
        <v>6</v>
      </c>
      <c r="F233" s="13" t="s">
        <v>461</v>
      </c>
      <c r="G233" s="13" t="s">
        <v>14</v>
      </c>
      <c r="H233" s="13" t="n">
        <v>350000</v>
      </c>
      <c r="I233" s="14" t="n">
        <v>350000</v>
      </c>
      <c r="J233" s="14" t="n">
        <f aca="false">E233*I233</f>
        <v>2100000</v>
      </c>
      <c r="K233" s="15" t="n">
        <f aca="false">H233*80%</f>
        <v>280000</v>
      </c>
      <c r="L233" s="0"/>
    </row>
    <row r="234" s="20" customFormat="true" ht="15.75" hidden="false" customHeight="false" outlineLevel="0" collapsed="false">
      <c r="A234" s="11" t="n">
        <v>233</v>
      </c>
      <c r="B234" s="12" t="s">
        <v>462</v>
      </c>
      <c r="C234" s="18"/>
      <c r="D234" s="11" t="s">
        <v>463</v>
      </c>
      <c r="E234" s="13" t="n">
        <v>400</v>
      </c>
      <c r="F234" s="13" t="s">
        <v>464</v>
      </c>
      <c r="G234" s="13" t="s">
        <v>14</v>
      </c>
      <c r="H234" s="13" t="n">
        <v>8000</v>
      </c>
      <c r="I234" s="14" t="n">
        <v>8000</v>
      </c>
      <c r="J234" s="14" t="n">
        <f aca="false">E234*I234</f>
        <v>3200000</v>
      </c>
      <c r="K234" s="15" t="n">
        <f aca="false">H234*80%</f>
        <v>6400</v>
      </c>
      <c r="L234" s="0"/>
    </row>
    <row r="235" s="20" customFormat="true" ht="15.75" hidden="false" customHeight="false" outlineLevel="0" collapsed="false">
      <c r="A235" s="11" t="n">
        <v>234</v>
      </c>
      <c r="B235" s="12" t="s">
        <v>465</v>
      </c>
      <c r="C235" s="18"/>
      <c r="D235" s="11" t="s">
        <v>48</v>
      </c>
      <c r="E235" s="13" t="n">
        <v>600</v>
      </c>
      <c r="F235" s="13" t="s">
        <v>461</v>
      </c>
      <c r="G235" s="13" t="s">
        <v>14</v>
      </c>
      <c r="H235" s="13" t="n">
        <v>6000</v>
      </c>
      <c r="I235" s="14" t="n">
        <v>4800</v>
      </c>
      <c r="J235" s="14" t="n">
        <f aca="false">E235*I235</f>
        <v>2880000</v>
      </c>
      <c r="K235" s="15" t="n">
        <f aca="false">H235*80%</f>
        <v>4800</v>
      </c>
      <c r="L235" s="0"/>
    </row>
    <row r="236" s="20" customFormat="true" ht="15.75" hidden="false" customHeight="false" outlineLevel="0" collapsed="false">
      <c r="A236" s="11" t="n">
        <v>235</v>
      </c>
      <c r="B236" s="12" t="s">
        <v>466</v>
      </c>
      <c r="C236" s="18"/>
      <c r="D236" s="11" t="s">
        <v>118</v>
      </c>
      <c r="E236" s="13" t="n">
        <v>6</v>
      </c>
      <c r="F236" s="13" t="s">
        <v>467</v>
      </c>
      <c r="G236" s="13" t="s">
        <v>14</v>
      </c>
      <c r="H236" s="13" t="n">
        <v>190000</v>
      </c>
      <c r="I236" s="14" t="n">
        <v>340000</v>
      </c>
      <c r="J236" s="14" t="n">
        <f aca="false">E236*I236</f>
        <v>2040000</v>
      </c>
      <c r="K236" s="15" t="n">
        <f aca="false">H236*80%</f>
        <v>152000</v>
      </c>
      <c r="L236" s="0"/>
    </row>
    <row r="237" s="20" customFormat="true" ht="15.75" hidden="false" customHeight="false" outlineLevel="0" collapsed="false">
      <c r="A237" s="11" t="n">
        <v>236</v>
      </c>
      <c r="B237" s="12" t="s">
        <v>468</v>
      </c>
      <c r="C237" s="18"/>
      <c r="D237" s="11" t="s">
        <v>210</v>
      </c>
      <c r="E237" s="13" t="n">
        <v>2</v>
      </c>
      <c r="F237" s="13" t="s">
        <v>39</v>
      </c>
      <c r="G237" s="13" t="s">
        <v>14</v>
      </c>
      <c r="H237" s="13" t="n">
        <v>78000</v>
      </c>
      <c r="I237" s="14" t="n">
        <v>250000</v>
      </c>
      <c r="J237" s="14" t="n">
        <f aca="false">E237*I237</f>
        <v>500000</v>
      </c>
      <c r="K237" s="15" t="n">
        <f aca="false">H237*80%</f>
        <v>62400</v>
      </c>
      <c r="L237" s="0"/>
    </row>
    <row r="238" s="20" customFormat="true" ht="15.75" hidden="false" customHeight="false" outlineLevel="0" collapsed="false">
      <c r="A238" s="11" t="n">
        <v>237</v>
      </c>
      <c r="B238" s="12" t="s">
        <v>469</v>
      </c>
      <c r="C238" s="18"/>
      <c r="D238" s="11" t="s">
        <v>210</v>
      </c>
      <c r="E238" s="13" t="n">
        <v>2</v>
      </c>
      <c r="F238" s="13" t="s">
        <v>39</v>
      </c>
      <c r="G238" s="13" t="s">
        <v>14</v>
      </c>
      <c r="H238" s="13" t="n">
        <v>78000</v>
      </c>
      <c r="I238" s="14" t="n">
        <v>250000</v>
      </c>
      <c r="J238" s="14" t="n">
        <f aca="false">E238*I238</f>
        <v>500000</v>
      </c>
      <c r="K238" s="15" t="n">
        <f aca="false">H238*80%</f>
        <v>62400</v>
      </c>
      <c r="L238" s="0"/>
    </row>
    <row r="239" s="20" customFormat="true" ht="15.75" hidden="false" customHeight="false" outlineLevel="0" collapsed="false">
      <c r="A239" s="11" t="n">
        <v>238</v>
      </c>
      <c r="B239" s="12" t="s">
        <v>470</v>
      </c>
      <c r="C239" s="18"/>
      <c r="D239" s="11" t="s">
        <v>210</v>
      </c>
      <c r="E239" s="13" t="n">
        <v>2</v>
      </c>
      <c r="F239" s="13" t="s">
        <v>39</v>
      </c>
      <c r="G239" s="13" t="s">
        <v>14</v>
      </c>
      <c r="H239" s="13" t="n">
        <v>78000</v>
      </c>
      <c r="I239" s="14" t="n">
        <v>250000</v>
      </c>
      <c r="J239" s="14" t="n">
        <f aca="false">E239*I239</f>
        <v>500000</v>
      </c>
      <c r="K239" s="15" t="n">
        <f aca="false">H239*80%</f>
        <v>62400</v>
      </c>
      <c r="L239" s="0"/>
    </row>
    <row r="240" s="20" customFormat="true" ht="15.75" hidden="false" customHeight="false" outlineLevel="0" collapsed="false">
      <c r="A240" s="11" t="n">
        <v>239</v>
      </c>
      <c r="B240" s="26" t="s">
        <v>471</v>
      </c>
      <c r="C240" s="18"/>
      <c r="D240" s="22" t="s">
        <v>110</v>
      </c>
      <c r="E240" s="13" t="n">
        <v>22</v>
      </c>
      <c r="F240" s="13"/>
      <c r="G240" s="13" t="s">
        <v>14</v>
      </c>
      <c r="H240" s="13" t="n">
        <v>950000</v>
      </c>
      <c r="I240" s="14" t="n">
        <v>760000</v>
      </c>
      <c r="J240" s="14" t="n">
        <f aca="false">E240*I240</f>
        <v>16720000</v>
      </c>
      <c r="K240" s="15" t="n">
        <f aca="false">H240*80%</f>
        <v>760000</v>
      </c>
      <c r="L240" s="0"/>
    </row>
    <row r="241" s="20" customFormat="true" ht="15.75" hidden="false" customHeight="false" outlineLevel="0" collapsed="false">
      <c r="A241" s="11" t="n">
        <v>240</v>
      </c>
      <c r="B241" s="18" t="s">
        <v>472</v>
      </c>
      <c r="C241" s="18"/>
      <c r="D241" s="22" t="s">
        <v>46</v>
      </c>
      <c r="E241" s="13" t="n">
        <v>30</v>
      </c>
      <c r="F241" s="13" t="s">
        <v>39</v>
      </c>
      <c r="G241" s="13" t="s">
        <v>14</v>
      </c>
      <c r="H241" s="13" t="n">
        <v>45000</v>
      </c>
      <c r="I241" s="14" t="n">
        <v>36000</v>
      </c>
      <c r="J241" s="14" t="n">
        <f aca="false">E241*I241</f>
        <v>1080000</v>
      </c>
      <c r="K241" s="15" t="n">
        <f aca="false">H241*80%</f>
        <v>36000</v>
      </c>
      <c r="L241" s="0"/>
    </row>
    <row r="242" s="20" customFormat="true" ht="191.75" hidden="false" customHeight="false" outlineLevel="0" collapsed="false">
      <c r="A242" s="11" t="n">
        <v>241</v>
      </c>
      <c r="B242" s="18" t="s">
        <v>473</v>
      </c>
      <c r="C242" s="18" t="s">
        <v>474</v>
      </c>
      <c r="D242" s="22" t="s">
        <v>46</v>
      </c>
      <c r="E242" s="13" t="n">
        <v>30</v>
      </c>
      <c r="F242" s="13" t="s">
        <v>39</v>
      </c>
      <c r="G242" s="13" t="s">
        <v>14</v>
      </c>
      <c r="H242" s="13" t="n">
        <v>55000</v>
      </c>
      <c r="I242" s="14" t="n">
        <v>44000</v>
      </c>
      <c r="J242" s="14" t="n">
        <f aca="false">E242*I242</f>
        <v>1320000</v>
      </c>
      <c r="K242" s="15" t="n">
        <f aca="false">H242*80%</f>
        <v>44000</v>
      </c>
      <c r="L242" s="0"/>
    </row>
    <row r="243" s="20" customFormat="true" ht="15.75" hidden="false" customHeight="false" outlineLevel="0" collapsed="false">
      <c r="A243" s="11" t="n">
        <v>242</v>
      </c>
      <c r="B243" s="12" t="s">
        <v>475</v>
      </c>
      <c r="C243" s="18"/>
      <c r="D243" s="22" t="s">
        <v>38</v>
      </c>
      <c r="E243" s="19" t="n">
        <v>2</v>
      </c>
      <c r="F243" s="19" t="s">
        <v>457</v>
      </c>
      <c r="G243" s="19" t="s">
        <v>100</v>
      </c>
      <c r="H243" s="19" t="n">
        <v>445000</v>
      </c>
      <c r="I243" s="14" t="n">
        <v>356000</v>
      </c>
      <c r="J243" s="14" t="n">
        <f aca="false">E243*I243</f>
        <v>712000</v>
      </c>
      <c r="K243" s="15" t="n">
        <f aca="false">H243*80%</f>
        <v>356000</v>
      </c>
      <c r="L243" s="0"/>
    </row>
    <row r="244" s="20" customFormat="true" ht="15.75" hidden="false" customHeight="false" outlineLevel="0" collapsed="false">
      <c r="A244" s="11" t="n">
        <v>243</v>
      </c>
      <c r="B244" s="26" t="s">
        <v>476</v>
      </c>
      <c r="C244" s="18"/>
      <c r="D244" s="22" t="s">
        <v>38</v>
      </c>
      <c r="E244" s="19" t="n">
        <v>8</v>
      </c>
      <c r="F244" s="19" t="s">
        <v>39</v>
      </c>
      <c r="G244" s="19" t="s">
        <v>14</v>
      </c>
      <c r="H244" s="19" t="n">
        <v>75000</v>
      </c>
      <c r="I244" s="14" t="n">
        <v>60000</v>
      </c>
      <c r="J244" s="14" t="n">
        <f aca="false">E244*I244</f>
        <v>480000</v>
      </c>
      <c r="K244" s="15" t="n">
        <f aca="false">H244*80%</f>
        <v>60000</v>
      </c>
      <c r="L244" s="0"/>
    </row>
    <row r="245" s="20" customFormat="true" ht="15.75" hidden="false" customHeight="false" outlineLevel="0" collapsed="false">
      <c r="A245" s="11" t="n">
        <v>244</v>
      </c>
      <c r="B245" s="17" t="s">
        <v>477</v>
      </c>
      <c r="C245" s="18"/>
      <c r="D245" s="22" t="s">
        <v>48</v>
      </c>
      <c r="E245" s="19" t="n">
        <v>13</v>
      </c>
      <c r="F245" s="19" t="s">
        <v>39</v>
      </c>
      <c r="G245" s="19" t="s">
        <v>14</v>
      </c>
      <c r="H245" s="19" t="n">
        <v>203000</v>
      </c>
      <c r="I245" s="14" t="n">
        <v>162400</v>
      </c>
      <c r="J245" s="14" t="n">
        <f aca="false">E245*I245</f>
        <v>2111200</v>
      </c>
      <c r="K245" s="15" t="n">
        <f aca="false">H245*80%</f>
        <v>162400</v>
      </c>
      <c r="L245" s="0"/>
    </row>
    <row r="246" s="20" customFormat="true" ht="153.7" hidden="false" customHeight="false" outlineLevel="0" collapsed="false">
      <c r="A246" s="11" t="n">
        <v>245</v>
      </c>
      <c r="B246" s="27" t="s">
        <v>478</v>
      </c>
      <c r="C246" s="18" t="s">
        <v>479</v>
      </c>
      <c r="D246" s="22" t="s">
        <v>48</v>
      </c>
      <c r="E246" s="19" t="n">
        <v>13</v>
      </c>
      <c r="F246" s="19" t="s">
        <v>96</v>
      </c>
      <c r="G246" s="19" t="s">
        <v>113</v>
      </c>
      <c r="H246" s="19" t="s">
        <v>480</v>
      </c>
      <c r="I246" s="14" t="n">
        <v>305600</v>
      </c>
      <c r="J246" s="14" t="n">
        <f aca="false">E246*I246</f>
        <v>3972800</v>
      </c>
      <c r="K246" s="15" t="e">
        <f aca="false">H246*80%</f>
        <v>#VALUE!</v>
      </c>
      <c r="L246" s="0"/>
    </row>
    <row r="247" s="20" customFormat="true" ht="39.55" hidden="false" customHeight="false" outlineLevel="0" collapsed="false">
      <c r="A247" s="11" t="n">
        <v>246</v>
      </c>
      <c r="B247" s="18" t="s">
        <v>481</v>
      </c>
      <c r="C247" s="18" t="s">
        <v>482</v>
      </c>
      <c r="D247" s="25" t="s">
        <v>48</v>
      </c>
      <c r="E247" s="13" t="n">
        <v>2</v>
      </c>
      <c r="F247" s="13" t="s">
        <v>483</v>
      </c>
      <c r="G247" s="13" t="s">
        <v>36</v>
      </c>
      <c r="H247" s="13" t="n">
        <v>1250000</v>
      </c>
      <c r="I247" s="14" t="n">
        <v>1000000</v>
      </c>
      <c r="J247" s="14" t="n">
        <f aca="false">E247*I247</f>
        <v>2000000</v>
      </c>
      <c r="K247" s="15" t="n">
        <f aca="false">H247*80%</f>
        <v>1000000</v>
      </c>
      <c r="L247" s="0"/>
    </row>
    <row r="248" s="20" customFormat="true" ht="15.75" hidden="false" customHeight="false" outlineLevel="0" collapsed="false">
      <c r="A248" s="11" t="n">
        <v>247</v>
      </c>
      <c r="B248" s="26" t="s">
        <v>484</v>
      </c>
      <c r="C248" s="18"/>
      <c r="D248" s="11" t="s">
        <v>403</v>
      </c>
      <c r="E248" s="19" t="n">
        <v>8</v>
      </c>
      <c r="F248" s="19" t="s">
        <v>485</v>
      </c>
      <c r="G248" s="19" t="s">
        <v>113</v>
      </c>
      <c r="H248" s="19" t="n">
        <v>2450000</v>
      </c>
      <c r="I248" s="14" t="n">
        <v>1960000</v>
      </c>
      <c r="J248" s="14" t="n">
        <f aca="false">E248*I248</f>
        <v>15680000</v>
      </c>
      <c r="K248" s="15" t="n">
        <f aca="false">H248*80%</f>
        <v>1960000</v>
      </c>
      <c r="L248" s="0"/>
    </row>
    <row r="249" s="20" customFormat="true" ht="15.75" hidden="false" customHeight="false" outlineLevel="0" collapsed="false">
      <c r="A249" s="11" t="n">
        <v>248</v>
      </c>
      <c r="B249" s="26" t="s">
        <v>486</v>
      </c>
      <c r="C249" s="18"/>
      <c r="D249" s="22" t="s">
        <v>403</v>
      </c>
      <c r="E249" s="19" t="n">
        <v>5</v>
      </c>
      <c r="F249" s="19" t="s">
        <v>487</v>
      </c>
      <c r="G249" s="19" t="s">
        <v>113</v>
      </c>
      <c r="H249" s="19" t="n">
        <v>720000</v>
      </c>
      <c r="I249" s="14" t="n">
        <v>576000</v>
      </c>
      <c r="J249" s="14" t="n">
        <f aca="false">E249*I249</f>
        <v>2880000</v>
      </c>
      <c r="K249" s="15" t="n">
        <f aca="false">H249*80%</f>
        <v>576000</v>
      </c>
      <c r="L249" s="0"/>
    </row>
    <row r="250" s="20" customFormat="true" ht="15.75" hidden="false" customHeight="false" outlineLevel="0" collapsed="false">
      <c r="A250" s="11" t="n">
        <v>249</v>
      </c>
      <c r="B250" s="26" t="s">
        <v>488</v>
      </c>
      <c r="C250" s="18"/>
      <c r="D250" s="22" t="s">
        <v>403</v>
      </c>
      <c r="E250" s="19" t="n">
        <v>5</v>
      </c>
      <c r="F250" s="19" t="s">
        <v>487</v>
      </c>
      <c r="G250" s="19" t="s">
        <v>113</v>
      </c>
      <c r="H250" s="19" t="n">
        <v>940000</v>
      </c>
      <c r="I250" s="14" t="n">
        <v>752000</v>
      </c>
      <c r="J250" s="14" t="n">
        <f aca="false">E250*I250</f>
        <v>3760000</v>
      </c>
      <c r="K250" s="15" t="n">
        <f aca="false">H250*80%</f>
        <v>752000</v>
      </c>
      <c r="L250" s="0"/>
    </row>
    <row r="251" s="20" customFormat="true" ht="15.75" hidden="false" customHeight="false" outlineLevel="0" collapsed="false">
      <c r="A251" s="11" t="n">
        <v>250</v>
      </c>
      <c r="B251" s="26" t="s">
        <v>489</v>
      </c>
      <c r="C251" s="18"/>
      <c r="D251" s="22" t="s">
        <v>490</v>
      </c>
      <c r="E251" s="19" t="n">
        <v>10</v>
      </c>
      <c r="F251" s="19" t="s">
        <v>487</v>
      </c>
      <c r="G251" s="19" t="s">
        <v>113</v>
      </c>
      <c r="H251" s="19" t="n">
        <v>670000</v>
      </c>
      <c r="I251" s="14" t="n">
        <v>536000</v>
      </c>
      <c r="J251" s="14" t="n">
        <f aca="false">E251*I251</f>
        <v>5360000</v>
      </c>
      <c r="K251" s="15" t="n">
        <f aca="false">H251*80%</f>
        <v>536000</v>
      </c>
      <c r="L251" s="0"/>
    </row>
    <row r="252" s="20" customFormat="true" ht="90.25" hidden="false" customHeight="false" outlineLevel="0" collapsed="false">
      <c r="A252" s="11" t="n">
        <v>251</v>
      </c>
      <c r="B252" s="26" t="s">
        <v>491</v>
      </c>
      <c r="C252" s="18" t="s">
        <v>492</v>
      </c>
      <c r="D252" s="22" t="s">
        <v>48</v>
      </c>
      <c r="E252" s="19" t="n">
        <v>5</v>
      </c>
      <c r="F252" s="19" t="s">
        <v>493</v>
      </c>
      <c r="G252" s="19" t="s">
        <v>377</v>
      </c>
      <c r="H252" s="19" t="n">
        <v>1020000</v>
      </c>
      <c r="I252" s="14" t="n">
        <v>900000</v>
      </c>
      <c r="J252" s="14" t="n">
        <f aca="false">E252*I252</f>
        <v>4500000</v>
      </c>
      <c r="K252" s="15" t="n">
        <f aca="false">H252*80%</f>
        <v>816000</v>
      </c>
      <c r="L252" s="0"/>
    </row>
    <row r="253" s="20" customFormat="true" ht="102.95" hidden="false" customHeight="false" outlineLevel="0" collapsed="false">
      <c r="A253" s="11" t="n">
        <v>252</v>
      </c>
      <c r="B253" s="12" t="s">
        <v>494</v>
      </c>
      <c r="C253" s="18" t="s">
        <v>495</v>
      </c>
      <c r="D253" s="22" t="s">
        <v>496</v>
      </c>
      <c r="E253" s="19" t="n">
        <v>90</v>
      </c>
      <c r="F253" s="19" t="s">
        <v>497</v>
      </c>
      <c r="G253" s="19" t="s">
        <v>377</v>
      </c>
      <c r="H253" s="19" t="n">
        <v>63000</v>
      </c>
      <c r="I253" s="14" t="n">
        <v>60000</v>
      </c>
      <c r="J253" s="14" t="n">
        <f aca="false">E253*I253</f>
        <v>5400000</v>
      </c>
      <c r="K253" s="15" t="n">
        <f aca="false">H253*80%</f>
        <v>50400</v>
      </c>
      <c r="L253" s="0"/>
    </row>
    <row r="254" s="20" customFormat="true" ht="26.85" hidden="false" customHeight="false" outlineLevel="0" collapsed="false">
      <c r="A254" s="11" t="n">
        <v>253</v>
      </c>
      <c r="B254" s="12" t="s">
        <v>498</v>
      </c>
      <c r="C254" s="18" t="s">
        <v>499</v>
      </c>
      <c r="D254" s="22" t="s">
        <v>48</v>
      </c>
      <c r="E254" s="19" t="n">
        <v>25</v>
      </c>
      <c r="F254" s="19" t="s">
        <v>457</v>
      </c>
      <c r="G254" s="19" t="s">
        <v>100</v>
      </c>
      <c r="H254" s="19" t="n">
        <v>62000</v>
      </c>
      <c r="I254" s="14" t="n">
        <v>49600</v>
      </c>
      <c r="J254" s="14" t="n">
        <f aca="false">E254*I254</f>
        <v>1240000</v>
      </c>
      <c r="K254" s="15" t="n">
        <f aca="false">H254*80%</f>
        <v>49600</v>
      </c>
      <c r="L254" s="0"/>
    </row>
    <row r="255" s="20" customFormat="true" ht="26.85" hidden="false" customHeight="false" outlineLevel="0" collapsed="false">
      <c r="A255" s="11" t="n">
        <v>254</v>
      </c>
      <c r="B255" s="17" t="s">
        <v>500</v>
      </c>
      <c r="C255" s="18" t="s">
        <v>501</v>
      </c>
      <c r="D255" s="22" t="s">
        <v>48</v>
      </c>
      <c r="E255" s="19" t="n">
        <v>13</v>
      </c>
      <c r="F255" s="19" t="s">
        <v>502</v>
      </c>
      <c r="G255" s="38" t="s">
        <v>503</v>
      </c>
      <c r="H255" s="19" t="n">
        <v>410000</v>
      </c>
      <c r="I255" s="14" t="n">
        <v>328000</v>
      </c>
      <c r="J255" s="14" t="n">
        <f aca="false">E255*I255</f>
        <v>4264000</v>
      </c>
      <c r="K255" s="15" t="n">
        <f aca="false">H255*80%</f>
        <v>328000</v>
      </c>
      <c r="L255" s="0"/>
    </row>
    <row r="256" s="20" customFormat="true" ht="49.5" hidden="false" customHeight="true" outlineLevel="0" collapsed="false">
      <c r="A256" s="11" t="n">
        <v>255</v>
      </c>
      <c r="B256" s="26" t="s">
        <v>504</v>
      </c>
      <c r="C256" s="12" t="s">
        <v>505</v>
      </c>
      <c r="D256" s="22" t="s">
        <v>118</v>
      </c>
      <c r="E256" s="19" t="n">
        <v>30</v>
      </c>
      <c r="F256" s="19" t="s">
        <v>506</v>
      </c>
      <c r="G256" s="19" t="s">
        <v>113</v>
      </c>
      <c r="H256" s="19" t="n">
        <v>105000</v>
      </c>
      <c r="I256" s="14" t="n">
        <v>84000</v>
      </c>
      <c r="J256" s="14" t="n">
        <f aca="false">E256*I256</f>
        <v>2520000</v>
      </c>
      <c r="K256" s="15" t="n">
        <f aca="false">H256*80%</f>
        <v>84000</v>
      </c>
      <c r="L256" s="0"/>
    </row>
    <row r="257" s="20" customFormat="true" ht="36" hidden="false" customHeight="true" outlineLevel="0" collapsed="false">
      <c r="A257" s="11" t="n">
        <v>256</v>
      </c>
      <c r="B257" s="26"/>
      <c r="C257" s="12" t="s">
        <v>507</v>
      </c>
      <c r="D257" s="22" t="s">
        <v>118</v>
      </c>
      <c r="E257" s="19" t="n">
        <v>30</v>
      </c>
      <c r="F257" s="19" t="s">
        <v>506</v>
      </c>
      <c r="G257" s="19" t="s">
        <v>113</v>
      </c>
      <c r="H257" s="19" t="n">
        <v>109000</v>
      </c>
      <c r="I257" s="14" t="n">
        <v>87200</v>
      </c>
      <c r="J257" s="14" t="n">
        <f aca="false">E257*I257</f>
        <v>2616000</v>
      </c>
      <c r="K257" s="15" t="n">
        <f aca="false">H257*80%</f>
        <v>87200</v>
      </c>
      <c r="L257" s="0"/>
    </row>
    <row r="258" s="20" customFormat="true" ht="19.5" hidden="false" customHeight="true" outlineLevel="0" collapsed="false">
      <c r="A258" s="11" t="n">
        <v>257</v>
      </c>
      <c r="B258" s="26"/>
      <c r="C258" s="12" t="s">
        <v>508</v>
      </c>
      <c r="D258" s="22" t="s">
        <v>118</v>
      </c>
      <c r="E258" s="19" t="n">
        <v>30</v>
      </c>
      <c r="F258" s="19" t="s">
        <v>506</v>
      </c>
      <c r="G258" s="19" t="s">
        <v>113</v>
      </c>
      <c r="H258" s="19" t="n">
        <v>125000</v>
      </c>
      <c r="I258" s="14" t="n">
        <v>100000</v>
      </c>
      <c r="J258" s="14" t="n">
        <f aca="false">E258*I258</f>
        <v>3000000</v>
      </c>
      <c r="K258" s="15" t="n">
        <f aca="false">H258*80%</f>
        <v>100000</v>
      </c>
      <c r="L258" s="0"/>
    </row>
    <row r="259" s="20" customFormat="true" ht="19.5" hidden="false" customHeight="true" outlineLevel="0" collapsed="false">
      <c r="A259" s="11" t="n">
        <v>258</v>
      </c>
      <c r="B259" s="26"/>
      <c r="C259" s="39" t="s">
        <v>509</v>
      </c>
      <c r="D259" s="22" t="s">
        <v>118</v>
      </c>
      <c r="E259" s="19" t="n">
        <v>30</v>
      </c>
      <c r="F259" s="19" t="s">
        <v>506</v>
      </c>
      <c r="G259" s="19" t="s">
        <v>113</v>
      </c>
      <c r="H259" s="19" t="n">
        <v>127000</v>
      </c>
      <c r="I259" s="14" t="n">
        <v>101600</v>
      </c>
      <c r="J259" s="14" t="n">
        <f aca="false">E259*I259</f>
        <v>3048000</v>
      </c>
      <c r="K259" s="15" t="n">
        <f aca="false">H259*80%</f>
        <v>101600</v>
      </c>
      <c r="L259" s="0"/>
    </row>
    <row r="260" s="20" customFormat="true" ht="19.5" hidden="false" customHeight="true" outlineLevel="0" collapsed="false">
      <c r="A260" s="11" t="n">
        <v>259</v>
      </c>
      <c r="B260" s="26"/>
      <c r="C260" s="39" t="s">
        <v>510</v>
      </c>
      <c r="D260" s="22" t="s">
        <v>118</v>
      </c>
      <c r="E260" s="19" t="n">
        <v>30</v>
      </c>
      <c r="F260" s="19" t="s">
        <v>506</v>
      </c>
      <c r="G260" s="19" t="s">
        <v>113</v>
      </c>
      <c r="H260" s="19" t="n">
        <v>135000</v>
      </c>
      <c r="I260" s="14" t="n">
        <v>108000</v>
      </c>
      <c r="J260" s="14" t="n">
        <f aca="false">E260*I260</f>
        <v>3240000</v>
      </c>
      <c r="K260" s="15" t="n">
        <f aca="false">H260*80%</f>
        <v>108000</v>
      </c>
      <c r="L260" s="0"/>
    </row>
    <row r="261" s="20" customFormat="true" ht="19.5" hidden="false" customHeight="true" outlineLevel="0" collapsed="false">
      <c r="A261" s="11" t="n">
        <v>260</v>
      </c>
      <c r="B261" s="26"/>
      <c r="C261" s="39" t="s">
        <v>511</v>
      </c>
      <c r="D261" s="22" t="s">
        <v>118</v>
      </c>
      <c r="E261" s="19" t="n">
        <v>6</v>
      </c>
      <c r="F261" s="19" t="s">
        <v>506</v>
      </c>
      <c r="G261" s="19" t="s">
        <v>113</v>
      </c>
      <c r="H261" s="19" t="n">
        <v>180000</v>
      </c>
      <c r="I261" s="14" t="n">
        <v>144000</v>
      </c>
      <c r="J261" s="14" t="n">
        <f aca="false">E261*I261</f>
        <v>864000</v>
      </c>
      <c r="K261" s="15" t="n">
        <f aca="false">H261*80%</f>
        <v>144000</v>
      </c>
      <c r="L261" s="0"/>
    </row>
    <row r="262" s="20" customFormat="true" ht="29.25" hidden="false" customHeight="true" outlineLevel="0" collapsed="false">
      <c r="A262" s="11" t="n">
        <v>261</v>
      </c>
      <c r="B262" s="26" t="s">
        <v>512</v>
      </c>
      <c r="C262" s="12" t="s">
        <v>513</v>
      </c>
      <c r="D262" s="22" t="s">
        <v>118</v>
      </c>
      <c r="E262" s="19" t="n">
        <v>30</v>
      </c>
      <c r="F262" s="19" t="s">
        <v>514</v>
      </c>
      <c r="G262" s="19" t="s">
        <v>113</v>
      </c>
      <c r="H262" s="19" t="n">
        <v>128000</v>
      </c>
      <c r="I262" s="14" t="n">
        <v>102400</v>
      </c>
      <c r="J262" s="14" t="n">
        <f aca="false">E262*I262</f>
        <v>3072000</v>
      </c>
      <c r="K262" s="15" t="n">
        <f aca="false">H262*80%</f>
        <v>102400</v>
      </c>
      <c r="L262" s="0"/>
    </row>
    <row r="263" s="20" customFormat="true" ht="27.75" hidden="false" customHeight="true" outlineLevel="0" collapsed="false">
      <c r="A263" s="11" t="n">
        <v>262</v>
      </c>
      <c r="B263" s="26"/>
      <c r="C263" s="12" t="s">
        <v>515</v>
      </c>
      <c r="D263" s="22" t="s">
        <v>118</v>
      </c>
      <c r="E263" s="19" t="n">
        <v>45</v>
      </c>
      <c r="F263" s="19" t="s">
        <v>514</v>
      </c>
      <c r="G263" s="19" t="s">
        <v>113</v>
      </c>
      <c r="H263" s="19" t="n">
        <v>161000</v>
      </c>
      <c r="I263" s="14" t="n">
        <v>128800</v>
      </c>
      <c r="J263" s="14" t="n">
        <f aca="false">E263*I263</f>
        <v>5796000</v>
      </c>
      <c r="K263" s="15" t="n">
        <f aca="false">H263*80%</f>
        <v>128800</v>
      </c>
      <c r="L263" s="0"/>
    </row>
    <row r="264" s="20" customFormat="true" ht="19.5" hidden="false" customHeight="true" outlineLevel="0" collapsed="false">
      <c r="A264" s="11" t="n">
        <v>263</v>
      </c>
      <c r="B264" s="26"/>
      <c r="C264" s="12" t="s">
        <v>516</v>
      </c>
      <c r="D264" s="22" t="s">
        <v>118</v>
      </c>
      <c r="E264" s="19" t="n">
        <v>50</v>
      </c>
      <c r="F264" s="19" t="s">
        <v>514</v>
      </c>
      <c r="G264" s="19" t="s">
        <v>113</v>
      </c>
      <c r="H264" s="19" t="n">
        <v>165000</v>
      </c>
      <c r="I264" s="14" t="n">
        <v>132000</v>
      </c>
      <c r="J264" s="14" t="n">
        <f aca="false">E264*I264</f>
        <v>6600000</v>
      </c>
      <c r="K264" s="15" t="n">
        <f aca="false">H264*80%</f>
        <v>132000</v>
      </c>
      <c r="L264" s="0"/>
    </row>
    <row r="265" s="20" customFormat="true" ht="24" hidden="false" customHeight="true" outlineLevel="0" collapsed="false">
      <c r="A265" s="11" t="n">
        <v>264</v>
      </c>
      <c r="B265" s="26"/>
      <c r="C265" s="12" t="s">
        <v>517</v>
      </c>
      <c r="D265" s="22" t="s">
        <v>118</v>
      </c>
      <c r="E265" s="19" t="n">
        <v>50</v>
      </c>
      <c r="F265" s="19" t="s">
        <v>514</v>
      </c>
      <c r="G265" s="19" t="s">
        <v>113</v>
      </c>
      <c r="H265" s="19" t="n">
        <v>295000</v>
      </c>
      <c r="I265" s="14" t="n">
        <v>236000</v>
      </c>
      <c r="J265" s="14" t="n">
        <f aca="false">E265*I265</f>
        <v>11800000</v>
      </c>
      <c r="K265" s="15" t="n">
        <f aca="false">H265*80%</f>
        <v>236000</v>
      </c>
      <c r="L265" s="0"/>
    </row>
    <row r="266" s="20" customFormat="true" ht="21.75" hidden="false" customHeight="true" outlineLevel="0" collapsed="false">
      <c r="A266" s="11" t="n">
        <v>265</v>
      </c>
      <c r="B266" s="26"/>
      <c r="C266" s="12" t="s">
        <v>518</v>
      </c>
      <c r="D266" s="22" t="s">
        <v>118</v>
      </c>
      <c r="E266" s="19" t="n">
        <v>45</v>
      </c>
      <c r="F266" s="19" t="s">
        <v>514</v>
      </c>
      <c r="G266" s="19" t="s">
        <v>113</v>
      </c>
      <c r="H266" s="19" t="n">
        <v>315000</v>
      </c>
      <c r="I266" s="14" t="n">
        <v>252000</v>
      </c>
      <c r="J266" s="14" t="n">
        <f aca="false">E266*I266</f>
        <v>11340000</v>
      </c>
      <c r="K266" s="15" t="n">
        <f aca="false">H266*80%</f>
        <v>252000</v>
      </c>
      <c r="L266" s="0"/>
    </row>
    <row r="267" s="20" customFormat="true" ht="24" hidden="false" customHeight="true" outlineLevel="0" collapsed="false">
      <c r="A267" s="11" t="n">
        <v>266</v>
      </c>
      <c r="B267" s="26"/>
      <c r="C267" s="12" t="s">
        <v>519</v>
      </c>
      <c r="D267" s="22" t="s">
        <v>118</v>
      </c>
      <c r="E267" s="19" t="n">
        <v>36</v>
      </c>
      <c r="F267" s="19" t="s">
        <v>506</v>
      </c>
      <c r="G267" s="19" t="s">
        <v>113</v>
      </c>
      <c r="H267" s="19" t="n">
        <v>350000</v>
      </c>
      <c r="I267" s="14" t="n">
        <v>280000</v>
      </c>
      <c r="J267" s="14" t="n">
        <f aca="false">E267*I267</f>
        <v>10080000</v>
      </c>
      <c r="K267" s="15" t="n">
        <f aca="false">H267*80%</f>
        <v>280000</v>
      </c>
      <c r="L267" s="0"/>
    </row>
    <row r="268" s="20" customFormat="true" ht="57.75" hidden="false" customHeight="true" outlineLevel="0" collapsed="false">
      <c r="A268" s="11" t="n">
        <v>267</v>
      </c>
      <c r="B268" s="18" t="s">
        <v>520</v>
      </c>
      <c r="C268" s="12" t="s">
        <v>521</v>
      </c>
      <c r="D268" s="22" t="s">
        <v>210</v>
      </c>
      <c r="E268" s="19" t="n">
        <v>4</v>
      </c>
      <c r="F268" s="19" t="s">
        <v>39</v>
      </c>
      <c r="G268" s="19" t="s">
        <v>522</v>
      </c>
      <c r="H268" s="19" t="n">
        <v>1478000</v>
      </c>
      <c r="I268" s="14" t="n">
        <v>1182400</v>
      </c>
      <c r="J268" s="14" t="n">
        <f aca="false">E268*I268</f>
        <v>4729600</v>
      </c>
      <c r="K268" s="15" t="n">
        <f aca="false">H268*80%</f>
        <v>1182400</v>
      </c>
      <c r="L268" s="0"/>
    </row>
    <row r="269" s="20" customFormat="true" ht="36" hidden="false" customHeight="true" outlineLevel="0" collapsed="false">
      <c r="A269" s="11" t="n">
        <v>268</v>
      </c>
      <c r="B269" s="18" t="s">
        <v>523</v>
      </c>
      <c r="C269" s="12"/>
      <c r="D269" s="11" t="s">
        <v>300</v>
      </c>
      <c r="E269" s="13" t="n">
        <v>20</v>
      </c>
      <c r="F269" s="13" t="s">
        <v>39</v>
      </c>
      <c r="G269" s="13" t="s">
        <v>58</v>
      </c>
      <c r="H269" s="13" t="n">
        <v>345000</v>
      </c>
      <c r="I269" s="14" t="n">
        <v>276000</v>
      </c>
      <c r="J269" s="14" t="n">
        <f aca="false">E269*I269</f>
        <v>5520000</v>
      </c>
      <c r="K269" s="15" t="n">
        <f aca="false">H269*80%</f>
        <v>276000</v>
      </c>
      <c r="L269" s="0"/>
    </row>
    <row r="270" s="20" customFormat="true" ht="15.75" hidden="false" customHeight="false" outlineLevel="0" collapsed="false">
      <c r="A270" s="11" t="n">
        <v>269</v>
      </c>
      <c r="B270" s="26" t="s">
        <v>524</v>
      </c>
      <c r="C270" s="12"/>
      <c r="D270" s="22" t="s">
        <v>403</v>
      </c>
      <c r="E270" s="19" t="n">
        <v>14</v>
      </c>
      <c r="F270" s="19" t="s">
        <v>525</v>
      </c>
      <c r="G270" s="19" t="s">
        <v>113</v>
      </c>
      <c r="H270" s="19" t="n">
        <v>1250000</v>
      </c>
      <c r="I270" s="14" t="n">
        <v>1000000</v>
      </c>
      <c r="J270" s="14" t="n">
        <f aca="false">E270*I270</f>
        <v>14000000</v>
      </c>
      <c r="K270" s="15" t="n">
        <f aca="false">H270*80%</f>
        <v>1000000</v>
      </c>
      <c r="L270" s="0"/>
    </row>
    <row r="271" s="20" customFormat="true" ht="15.75" hidden="false" customHeight="false" outlineLevel="0" collapsed="false">
      <c r="A271" s="11" t="n">
        <v>270</v>
      </c>
      <c r="B271" s="26" t="s">
        <v>526</v>
      </c>
      <c r="C271" s="12"/>
      <c r="D271" s="22" t="s">
        <v>403</v>
      </c>
      <c r="E271" s="19" t="n">
        <v>6</v>
      </c>
      <c r="F271" s="19" t="s">
        <v>525</v>
      </c>
      <c r="G271" s="19" t="s">
        <v>113</v>
      </c>
      <c r="H271" s="19" t="n">
        <v>1250000</v>
      </c>
      <c r="I271" s="14" t="n">
        <v>1000000</v>
      </c>
      <c r="J271" s="14" t="n">
        <f aca="false">E271*I271</f>
        <v>6000000</v>
      </c>
      <c r="K271" s="15" t="n">
        <f aca="false">H271*80%</f>
        <v>1000000</v>
      </c>
      <c r="L271" s="0"/>
    </row>
    <row r="272" s="20" customFormat="true" ht="15.75" hidden="false" customHeight="false" outlineLevel="0" collapsed="false">
      <c r="A272" s="11" t="n">
        <v>271</v>
      </c>
      <c r="B272" s="26" t="s">
        <v>527</v>
      </c>
      <c r="C272" s="12"/>
      <c r="D272" s="22" t="s">
        <v>403</v>
      </c>
      <c r="E272" s="19" t="n">
        <v>23</v>
      </c>
      <c r="F272" s="19" t="s">
        <v>525</v>
      </c>
      <c r="G272" s="19" t="s">
        <v>113</v>
      </c>
      <c r="H272" s="19" t="n">
        <v>1120000</v>
      </c>
      <c r="I272" s="14" t="n">
        <v>896000</v>
      </c>
      <c r="J272" s="14" t="n">
        <f aca="false">E272*I272</f>
        <v>20608000</v>
      </c>
      <c r="K272" s="15" t="n">
        <f aca="false">H272*80%</f>
        <v>896000</v>
      </c>
      <c r="L272" s="0"/>
    </row>
    <row r="273" s="20" customFormat="true" ht="30" hidden="false" customHeight="true" outlineLevel="0" collapsed="false">
      <c r="A273" s="11" t="n">
        <v>272</v>
      </c>
      <c r="B273" s="26" t="s">
        <v>528</v>
      </c>
      <c r="C273" s="12"/>
      <c r="D273" s="22" t="s">
        <v>403</v>
      </c>
      <c r="E273" s="19" t="n">
        <v>22</v>
      </c>
      <c r="F273" s="19" t="s">
        <v>525</v>
      </c>
      <c r="G273" s="19" t="s">
        <v>113</v>
      </c>
      <c r="H273" s="19" t="n">
        <v>1250000</v>
      </c>
      <c r="I273" s="14" t="n">
        <v>1000000</v>
      </c>
      <c r="J273" s="14" t="n">
        <f aca="false">E273*I273</f>
        <v>22000000</v>
      </c>
      <c r="K273" s="15" t="n">
        <f aca="false">H273*80%</f>
        <v>1000000</v>
      </c>
      <c r="L273" s="0"/>
    </row>
    <row r="274" s="20" customFormat="true" ht="30" hidden="false" customHeight="true" outlineLevel="0" collapsed="false">
      <c r="A274" s="11" t="n">
        <v>273</v>
      </c>
      <c r="B274" s="26" t="s">
        <v>529</v>
      </c>
      <c r="C274" s="12"/>
      <c r="D274" s="22" t="s">
        <v>403</v>
      </c>
      <c r="E274" s="19" t="n">
        <v>9</v>
      </c>
      <c r="F274" s="19" t="s">
        <v>530</v>
      </c>
      <c r="G274" s="19" t="s">
        <v>52</v>
      </c>
      <c r="H274" s="19" t="n">
        <v>750000</v>
      </c>
      <c r="I274" s="14" t="n">
        <v>600000</v>
      </c>
      <c r="J274" s="14" t="n">
        <f aca="false">E274*I274</f>
        <v>5400000</v>
      </c>
      <c r="K274" s="15" t="n">
        <f aca="false">H274*80%</f>
        <v>600000</v>
      </c>
      <c r="L274" s="0"/>
    </row>
    <row r="275" s="20" customFormat="true" ht="30" hidden="false" customHeight="true" outlineLevel="0" collapsed="false">
      <c r="A275" s="11" t="n">
        <v>274</v>
      </c>
      <c r="B275" s="26" t="s">
        <v>531</v>
      </c>
      <c r="C275" s="12"/>
      <c r="D275" s="22" t="s">
        <v>403</v>
      </c>
      <c r="E275" s="19" t="n">
        <v>9</v>
      </c>
      <c r="F275" s="19" t="s">
        <v>532</v>
      </c>
      <c r="G275" s="19" t="s">
        <v>58</v>
      </c>
      <c r="H275" s="19" t="n">
        <v>350000</v>
      </c>
      <c r="I275" s="14" t="n">
        <v>280000</v>
      </c>
      <c r="J275" s="14" t="n">
        <f aca="false">E275*I275</f>
        <v>2520000</v>
      </c>
      <c r="K275" s="15" t="n">
        <f aca="false">H275*80%</f>
        <v>280000</v>
      </c>
      <c r="L275" s="0"/>
    </row>
    <row r="276" s="20" customFormat="true" ht="30" hidden="false" customHeight="true" outlineLevel="0" collapsed="false">
      <c r="A276" s="11" t="n">
        <v>275</v>
      </c>
      <c r="B276" s="26" t="s">
        <v>533</v>
      </c>
      <c r="C276" s="12"/>
      <c r="D276" s="22" t="s">
        <v>403</v>
      </c>
      <c r="E276" s="19" t="n">
        <v>11</v>
      </c>
      <c r="F276" s="19" t="s">
        <v>525</v>
      </c>
      <c r="G276" s="19" t="s">
        <v>113</v>
      </c>
      <c r="H276" s="19" t="n">
        <v>1120000</v>
      </c>
      <c r="I276" s="14" t="n">
        <v>896000</v>
      </c>
      <c r="J276" s="14" t="n">
        <f aca="false">E276*I276</f>
        <v>9856000</v>
      </c>
      <c r="K276" s="15" t="n">
        <f aca="false">H276*80%</f>
        <v>896000</v>
      </c>
      <c r="L276" s="0"/>
    </row>
    <row r="277" s="20" customFormat="true" ht="30" hidden="false" customHeight="true" outlineLevel="0" collapsed="false">
      <c r="A277" s="11" t="n">
        <v>276</v>
      </c>
      <c r="B277" s="26" t="s">
        <v>534</v>
      </c>
      <c r="C277" s="12"/>
      <c r="D277" s="22" t="s">
        <v>403</v>
      </c>
      <c r="E277" s="19" t="n">
        <v>10</v>
      </c>
      <c r="F277" s="19" t="s">
        <v>525</v>
      </c>
      <c r="G277" s="19" t="s">
        <v>113</v>
      </c>
      <c r="H277" s="19" t="n">
        <v>1120000</v>
      </c>
      <c r="I277" s="14" t="n">
        <v>896000</v>
      </c>
      <c r="J277" s="14" t="n">
        <f aca="false">E277*I277</f>
        <v>8960000</v>
      </c>
      <c r="K277" s="15" t="n">
        <f aca="false">H277*80%</f>
        <v>896000</v>
      </c>
      <c r="L277" s="0"/>
    </row>
    <row r="278" s="20" customFormat="true" ht="30" hidden="false" customHeight="true" outlineLevel="0" collapsed="false">
      <c r="A278" s="11" t="n">
        <v>277</v>
      </c>
      <c r="B278" s="26" t="s">
        <v>535</v>
      </c>
      <c r="C278" s="12"/>
      <c r="D278" s="22" t="s">
        <v>403</v>
      </c>
      <c r="E278" s="19" t="n">
        <v>8</v>
      </c>
      <c r="F278" s="19" t="s">
        <v>525</v>
      </c>
      <c r="G278" s="19" t="s">
        <v>113</v>
      </c>
      <c r="H278" s="19" t="n">
        <v>1120000</v>
      </c>
      <c r="I278" s="14" t="n">
        <v>896000</v>
      </c>
      <c r="J278" s="14" t="n">
        <f aca="false">E278*I278</f>
        <v>7168000</v>
      </c>
      <c r="K278" s="15" t="n">
        <f aca="false">H278*80%</f>
        <v>896000</v>
      </c>
      <c r="L278" s="0"/>
    </row>
    <row r="279" s="20" customFormat="true" ht="30" hidden="false" customHeight="true" outlineLevel="0" collapsed="false">
      <c r="A279" s="11" t="n">
        <v>278</v>
      </c>
      <c r="B279" s="26" t="s">
        <v>536</v>
      </c>
      <c r="C279" s="12"/>
      <c r="D279" s="22" t="s">
        <v>403</v>
      </c>
      <c r="E279" s="19" t="n">
        <v>9</v>
      </c>
      <c r="F279" s="19" t="s">
        <v>525</v>
      </c>
      <c r="G279" s="19" t="s">
        <v>113</v>
      </c>
      <c r="H279" s="19" t="n">
        <v>1120000</v>
      </c>
      <c r="I279" s="14" t="n">
        <v>896000</v>
      </c>
      <c r="J279" s="14" t="n">
        <f aca="false">E279*I279</f>
        <v>8064000</v>
      </c>
      <c r="K279" s="15" t="n">
        <f aca="false">H279*80%</f>
        <v>896000</v>
      </c>
      <c r="L279" s="0"/>
    </row>
    <row r="280" s="20" customFormat="true" ht="19.5" hidden="false" customHeight="true" outlineLevel="0" collapsed="false">
      <c r="A280" s="11" t="n">
        <v>279</v>
      </c>
      <c r="B280" s="26" t="s">
        <v>537</v>
      </c>
      <c r="C280" s="12"/>
      <c r="D280" s="22" t="s">
        <v>403</v>
      </c>
      <c r="E280" s="19" t="n">
        <v>9</v>
      </c>
      <c r="F280" s="19" t="s">
        <v>525</v>
      </c>
      <c r="G280" s="19" t="s">
        <v>113</v>
      </c>
      <c r="H280" s="19" t="n">
        <v>1120000</v>
      </c>
      <c r="I280" s="14" t="n">
        <v>896000</v>
      </c>
      <c r="J280" s="14" t="n">
        <f aca="false">E280*I280</f>
        <v>8064000</v>
      </c>
      <c r="K280" s="15" t="n">
        <f aca="false">H280*80%</f>
        <v>896000</v>
      </c>
      <c r="L280" s="0"/>
    </row>
    <row r="281" s="20" customFormat="true" ht="19.5" hidden="false" customHeight="true" outlineLevel="0" collapsed="false">
      <c r="A281" s="11" t="n">
        <v>280</v>
      </c>
      <c r="B281" s="26"/>
      <c r="C281" s="12"/>
      <c r="D281" s="22" t="s">
        <v>403</v>
      </c>
      <c r="E281" s="19" t="n">
        <v>4</v>
      </c>
      <c r="F281" s="19" t="s">
        <v>525</v>
      </c>
      <c r="G281" s="19"/>
      <c r="H281" s="19" t="n">
        <v>1120000</v>
      </c>
      <c r="I281" s="14" t="n">
        <v>896000</v>
      </c>
      <c r="J281" s="14" t="n">
        <f aca="false">E281*I281</f>
        <v>3584000</v>
      </c>
      <c r="K281" s="15" t="n">
        <f aca="false">H281*80%</f>
        <v>896000</v>
      </c>
      <c r="L281" s="0"/>
    </row>
    <row r="282" s="20" customFormat="true" ht="15.75" hidden="false" customHeight="false" outlineLevel="0" collapsed="false">
      <c r="A282" s="11" t="n">
        <v>281</v>
      </c>
      <c r="B282" s="18" t="s">
        <v>538</v>
      </c>
      <c r="C282" s="18"/>
      <c r="D282" s="22" t="s">
        <v>311</v>
      </c>
      <c r="E282" s="13" t="n">
        <v>10</v>
      </c>
      <c r="F282" s="19" t="s">
        <v>539</v>
      </c>
      <c r="G282" s="19" t="s">
        <v>58</v>
      </c>
      <c r="H282" s="13" t="n">
        <v>411000</v>
      </c>
      <c r="I282" s="14" t="n">
        <v>315000</v>
      </c>
      <c r="J282" s="14" t="n">
        <f aca="false">E282*I282</f>
        <v>3150000</v>
      </c>
      <c r="K282" s="15" t="n">
        <f aca="false">H282*80%</f>
        <v>328800</v>
      </c>
      <c r="L282" s="0"/>
    </row>
    <row r="283" s="20" customFormat="true" ht="26.25" hidden="false" customHeight="true" outlineLevel="0" collapsed="false">
      <c r="A283" s="11" t="n">
        <v>282</v>
      </c>
      <c r="B283" s="26" t="s">
        <v>540</v>
      </c>
      <c r="C283" s="39" t="s">
        <v>541</v>
      </c>
      <c r="D283" s="22" t="s">
        <v>48</v>
      </c>
      <c r="E283" s="19" t="n">
        <v>20</v>
      </c>
      <c r="F283" s="19" t="s">
        <v>542</v>
      </c>
      <c r="G283" s="19" t="s">
        <v>113</v>
      </c>
      <c r="H283" s="19" t="n">
        <v>390000</v>
      </c>
      <c r="I283" s="14" t="n">
        <v>312000</v>
      </c>
      <c r="J283" s="14" t="n">
        <f aca="false">E283*I283</f>
        <v>6240000</v>
      </c>
      <c r="K283" s="15" t="n">
        <f aca="false">H283*80%</f>
        <v>312000</v>
      </c>
      <c r="L283" s="0"/>
    </row>
    <row r="284" s="20" customFormat="true" ht="26.25" hidden="false" customHeight="true" outlineLevel="0" collapsed="false">
      <c r="A284" s="11" t="n">
        <v>283</v>
      </c>
      <c r="B284" s="26"/>
      <c r="C284" s="39" t="s">
        <v>543</v>
      </c>
      <c r="D284" s="22" t="s">
        <v>48</v>
      </c>
      <c r="E284" s="19" t="n">
        <v>20</v>
      </c>
      <c r="F284" s="19" t="s">
        <v>542</v>
      </c>
      <c r="G284" s="19" t="s">
        <v>113</v>
      </c>
      <c r="H284" s="19" t="n">
        <v>395000</v>
      </c>
      <c r="I284" s="14" t="n">
        <v>316000</v>
      </c>
      <c r="J284" s="14" t="n">
        <f aca="false">E284*I284</f>
        <v>6320000</v>
      </c>
      <c r="K284" s="15" t="n">
        <f aca="false">H284*80%</f>
        <v>316000</v>
      </c>
      <c r="L284" s="0"/>
    </row>
    <row r="285" s="20" customFormat="true" ht="26.25" hidden="false" customHeight="true" outlineLevel="0" collapsed="false">
      <c r="A285" s="11" t="n">
        <v>284</v>
      </c>
      <c r="B285" s="26"/>
      <c r="C285" s="39" t="s">
        <v>544</v>
      </c>
      <c r="D285" s="22" t="s">
        <v>48</v>
      </c>
      <c r="E285" s="19" t="n">
        <v>20</v>
      </c>
      <c r="F285" s="19" t="s">
        <v>542</v>
      </c>
      <c r="G285" s="19" t="s">
        <v>113</v>
      </c>
      <c r="H285" s="19" t="n">
        <v>410000</v>
      </c>
      <c r="I285" s="14" t="n">
        <v>328000</v>
      </c>
      <c r="J285" s="14" t="n">
        <f aca="false">E285*I285</f>
        <v>6560000</v>
      </c>
      <c r="K285" s="15" t="n">
        <f aca="false">H285*80%</f>
        <v>328000</v>
      </c>
      <c r="L285" s="0"/>
    </row>
    <row r="286" s="20" customFormat="true" ht="19.5" hidden="false" customHeight="true" outlineLevel="0" collapsed="false">
      <c r="A286" s="11" t="n">
        <v>285</v>
      </c>
      <c r="B286" s="26"/>
      <c r="C286" s="39" t="s">
        <v>545</v>
      </c>
      <c r="D286" s="22" t="s">
        <v>48</v>
      </c>
      <c r="E286" s="19" t="n">
        <v>50</v>
      </c>
      <c r="F286" s="19" t="s">
        <v>542</v>
      </c>
      <c r="G286" s="19" t="s">
        <v>113</v>
      </c>
      <c r="H286" s="19" t="n">
        <v>430000</v>
      </c>
      <c r="I286" s="14" t="n">
        <v>344000</v>
      </c>
      <c r="J286" s="14" t="n">
        <f aca="false">E286*I286</f>
        <v>17200000</v>
      </c>
      <c r="K286" s="15" t="n">
        <f aca="false">H286*80%</f>
        <v>344000</v>
      </c>
      <c r="L286" s="0"/>
    </row>
    <row r="287" s="20" customFormat="true" ht="19.5" hidden="false" customHeight="true" outlineLevel="0" collapsed="false">
      <c r="A287" s="11" t="n">
        <v>286</v>
      </c>
      <c r="B287" s="26"/>
      <c r="C287" s="39" t="s">
        <v>546</v>
      </c>
      <c r="D287" s="22" t="s">
        <v>48</v>
      </c>
      <c r="E287" s="19" t="n">
        <v>30</v>
      </c>
      <c r="F287" s="19" t="s">
        <v>542</v>
      </c>
      <c r="G287" s="19" t="s">
        <v>113</v>
      </c>
      <c r="H287" s="19" t="n">
        <v>440000</v>
      </c>
      <c r="I287" s="14" t="n">
        <v>352000</v>
      </c>
      <c r="J287" s="14" t="n">
        <f aca="false">E287*I287</f>
        <v>10560000</v>
      </c>
      <c r="K287" s="15" t="n">
        <f aca="false">H287*80%</f>
        <v>352000</v>
      </c>
      <c r="L287" s="0"/>
    </row>
    <row r="288" s="20" customFormat="true" ht="19.5" hidden="false" customHeight="true" outlineLevel="0" collapsed="false">
      <c r="A288" s="11" t="n">
        <v>287</v>
      </c>
      <c r="B288" s="26"/>
      <c r="C288" s="39" t="s">
        <v>547</v>
      </c>
      <c r="D288" s="22" t="s">
        <v>48</v>
      </c>
      <c r="E288" s="19" t="n">
        <v>43</v>
      </c>
      <c r="F288" s="19" t="s">
        <v>542</v>
      </c>
      <c r="G288" s="19" t="s">
        <v>113</v>
      </c>
      <c r="H288" s="19" t="n">
        <v>445000</v>
      </c>
      <c r="I288" s="14" t="n">
        <v>356000</v>
      </c>
      <c r="J288" s="14" t="n">
        <f aca="false">E288*I288</f>
        <v>15308000</v>
      </c>
      <c r="K288" s="15" t="n">
        <f aca="false">H288*80%</f>
        <v>356000</v>
      </c>
      <c r="L288" s="0"/>
    </row>
    <row r="289" s="20" customFormat="true" ht="19.5" hidden="false" customHeight="true" outlineLevel="0" collapsed="false">
      <c r="A289" s="11" t="n">
        <v>288</v>
      </c>
      <c r="B289" s="26"/>
      <c r="C289" s="39" t="s">
        <v>548</v>
      </c>
      <c r="D289" s="22" t="s">
        <v>48</v>
      </c>
      <c r="E289" s="19" t="n">
        <v>15</v>
      </c>
      <c r="F289" s="19" t="s">
        <v>542</v>
      </c>
      <c r="G289" s="19" t="s">
        <v>113</v>
      </c>
      <c r="H289" s="19" t="n">
        <v>655000</v>
      </c>
      <c r="I289" s="14" t="n">
        <v>524000</v>
      </c>
      <c r="J289" s="14" t="n">
        <f aca="false">E289*I289</f>
        <v>7860000</v>
      </c>
      <c r="K289" s="15" t="n">
        <f aca="false">H289*80%</f>
        <v>524000</v>
      </c>
      <c r="L289" s="0"/>
    </row>
    <row r="290" s="20" customFormat="true" ht="19.5" hidden="false" customHeight="true" outlineLevel="0" collapsed="false">
      <c r="A290" s="11" t="n">
        <v>289</v>
      </c>
      <c r="B290" s="26"/>
      <c r="C290" s="39" t="s">
        <v>548</v>
      </c>
      <c r="D290" s="22" t="s">
        <v>48</v>
      </c>
      <c r="E290" s="19" t="n">
        <v>78</v>
      </c>
      <c r="F290" s="19" t="s">
        <v>542</v>
      </c>
      <c r="G290" s="19" t="s">
        <v>113</v>
      </c>
      <c r="H290" s="19" t="n">
        <v>680000</v>
      </c>
      <c r="I290" s="14" t="n">
        <v>544000</v>
      </c>
      <c r="J290" s="14" t="n">
        <f aca="false">E290*I290</f>
        <v>42432000</v>
      </c>
      <c r="K290" s="15" t="n">
        <f aca="false">H290*80%</f>
        <v>544000</v>
      </c>
      <c r="L290" s="0"/>
    </row>
    <row r="291" s="20" customFormat="true" ht="19.5" hidden="false" customHeight="true" outlineLevel="0" collapsed="false">
      <c r="A291" s="11" t="n">
        <v>290</v>
      </c>
      <c r="B291" s="26"/>
      <c r="C291" s="39" t="s">
        <v>549</v>
      </c>
      <c r="D291" s="22" t="s">
        <v>48</v>
      </c>
      <c r="E291" s="19" t="n">
        <v>6</v>
      </c>
      <c r="F291" s="19" t="s">
        <v>542</v>
      </c>
      <c r="G291" s="19" t="s">
        <v>113</v>
      </c>
      <c r="H291" s="19" t="n">
        <v>1211000</v>
      </c>
      <c r="I291" s="14" t="n">
        <v>968800</v>
      </c>
      <c r="J291" s="14" t="n">
        <f aca="false">E291*I291</f>
        <v>5812800</v>
      </c>
      <c r="K291" s="15" t="n">
        <f aca="false">H291*80%</f>
        <v>968800</v>
      </c>
      <c r="L291" s="0"/>
    </row>
    <row r="292" s="20" customFormat="true" ht="19.5" hidden="false" customHeight="true" outlineLevel="0" collapsed="false">
      <c r="A292" s="11" t="n">
        <v>291</v>
      </c>
      <c r="B292" s="26"/>
      <c r="C292" s="39" t="s">
        <v>549</v>
      </c>
      <c r="D292" s="22" t="s">
        <v>48</v>
      </c>
      <c r="E292" s="19" t="n">
        <v>72</v>
      </c>
      <c r="F292" s="19" t="s">
        <v>542</v>
      </c>
      <c r="G292" s="19" t="s">
        <v>113</v>
      </c>
      <c r="H292" s="19" t="n">
        <v>1250000</v>
      </c>
      <c r="I292" s="14" t="n">
        <v>1000000</v>
      </c>
      <c r="J292" s="14" t="n">
        <f aca="false">E292*I292</f>
        <v>72000000</v>
      </c>
      <c r="K292" s="15" t="n">
        <f aca="false">H292*80%</f>
        <v>1000000</v>
      </c>
      <c r="L292" s="0"/>
    </row>
    <row r="293" s="20" customFormat="true" ht="19.5" hidden="false" customHeight="true" outlineLevel="0" collapsed="false">
      <c r="A293" s="11" t="n">
        <v>292</v>
      </c>
      <c r="B293" s="26"/>
      <c r="C293" s="39" t="s">
        <v>550</v>
      </c>
      <c r="D293" s="22" t="s">
        <v>48</v>
      </c>
      <c r="E293" s="19" t="n">
        <v>70</v>
      </c>
      <c r="F293" s="19" t="s">
        <v>542</v>
      </c>
      <c r="G293" s="19" t="s">
        <v>113</v>
      </c>
      <c r="H293" s="19" t="n">
        <v>1405000</v>
      </c>
      <c r="I293" s="14" t="n">
        <v>1124000</v>
      </c>
      <c r="J293" s="14" t="n">
        <f aca="false">E293*I293</f>
        <v>78680000</v>
      </c>
      <c r="K293" s="15" t="n">
        <f aca="false">H293*80%</f>
        <v>1124000</v>
      </c>
      <c r="L293" s="0"/>
    </row>
    <row r="294" s="20" customFormat="true" ht="19.5" hidden="false" customHeight="true" outlineLevel="0" collapsed="false">
      <c r="A294" s="11" t="n">
        <v>293</v>
      </c>
      <c r="B294" s="26"/>
      <c r="C294" s="39" t="s">
        <v>551</v>
      </c>
      <c r="D294" s="22" t="s">
        <v>48</v>
      </c>
      <c r="E294" s="19" t="n">
        <v>30</v>
      </c>
      <c r="F294" s="19" t="s">
        <v>542</v>
      </c>
      <c r="G294" s="19" t="s">
        <v>113</v>
      </c>
      <c r="H294" s="19" t="n">
        <v>1450000</v>
      </c>
      <c r="I294" s="14" t="n">
        <v>1160000</v>
      </c>
      <c r="J294" s="14" t="n">
        <f aca="false">E294*I294</f>
        <v>34800000</v>
      </c>
      <c r="K294" s="15" t="n">
        <f aca="false">H294*80%</f>
        <v>1160000</v>
      </c>
      <c r="L294" s="0"/>
    </row>
    <row r="295" s="20" customFormat="true" ht="19.5" hidden="false" customHeight="true" outlineLevel="0" collapsed="false">
      <c r="A295" s="11" t="n">
        <v>294</v>
      </c>
      <c r="B295" s="26"/>
      <c r="C295" s="39" t="s">
        <v>552</v>
      </c>
      <c r="D295" s="22" t="s">
        <v>48</v>
      </c>
      <c r="E295" s="19" t="n">
        <v>30</v>
      </c>
      <c r="F295" s="19" t="s">
        <v>542</v>
      </c>
      <c r="G295" s="19" t="s">
        <v>113</v>
      </c>
      <c r="H295" s="19" t="n">
        <v>2750000</v>
      </c>
      <c r="I295" s="14" t="n">
        <v>2200000</v>
      </c>
      <c r="J295" s="14" t="n">
        <f aca="false">E295*I295</f>
        <v>66000000</v>
      </c>
      <c r="K295" s="15" t="n">
        <f aca="false">H295*80%</f>
        <v>2200000</v>
      </c>
      <c r="L295" s="0"/>
    </row>
    <row r="296" s="20" customFormat="true" ht="19.5" hidden="false" customHeight="true" outlineLevel="0" collapsed="false">
      <c r="A296" s="11" t="n">
        <v>295</v>
      </c>
      <c r="B296" s="26"/>
      <c r="C296" s="39" t="s">
        <v>553</v>
      </c>
      <c r="D296" s="22" t="s">
        <v>48</v>
      </c>
      <c r="E296" s="19" t="n">
        <v>30</v>
      </c>
      <c r="F296" s="19" t="s">
        <v>542</v>
      </c>
      <c r="G296" s="19" t="s">
        <v>113</v>
      </c>
      <c r="H296" s="19" t="n">
        <v>3500000</v>
      </c>
      <c r="I296" s="14" t="n">
        <v>2800000</v>
      </c>
      <c r="J296" s="14" t="n">
        <f aca="false">E296*I296</f>
        <v>84000000</v>
      </c>
      <c r="K296" s="15" t="n">
        <f aca="false">H296*80%</f>
        <v>2800000</v>
      </c>
      <c r="L296" s="0"/>
    </row>
    <row r="297" s="20" customFormat="true" ht="19.5" hidden="false" customHeight="true" outlineLevel="0" collapsed="false">
      <c r="A297" s="11" t="n">
        <v>296</v>
      </c>
      <c r="B297" s="26"/>
      <c r="C297" s="39" t="s">
        <v>554</v>
      </c>
      <c r="D297" s="22" t="s">
        <v>48</v>
      </c>
      <c r="E297" s="19" t="n">
        <v>30</v>
      </c>
      <c r="F297" s="19" t="s">
        <v>542</v>
      </c>
      <c r="G297" s="19" t="s">
        <v>113</v>
      </c>
      <c r="H297" s="19" t="n">
        <v>3600000</v>
      </c>
      <c r="I297" s="14" t="n">
        <v>2880000</v>
      </c>
      <c r="J297" s="14" t="n">
        <f aca="false">E297*I297</f>
        <v>86400000</v>
      </c>
      <c r="K297" s="15" t="n">
        <f aca="false">H297*80%</f>
        <v>2880000</v>
      </c>
      <c r="L297" s="0"/>
    </row>
    <row r="298" s="20" customFormat="true" ht="19.5" hidden="false" customHeight="true" outlineLevel="0" collapsed="false">
      <c r="A298" s="11" t="n">
        <v>297</v>
      </c>
      <c r="B298" s="12" t="s">
        <v>555</v>
      </c>
      <c r="C298" s="12"/>
      <c r="D298" s="22" t="s">
        <v>48</v>
      </c>
      <c r="E298" s="19" t="n">
        <v>20</v>
      </c>
      <c r="F298" s="19" t="s">
        <v>556</v>
      </c>
      <c r="G298" s="19" t="s">
        <v>58</v>
      </c>
      <c r="H298" s="19" t="n">
        <v>135000</v>
      </c>
      <c r="I298" s="14" t="n">
        <v>108000</v>
      </c>
      <c r="J298" s="14" t="n">
        <f aca="false">E298*I298</f>
        <v>2160000</v>
      </c>
      <c r="K298" s="15" t="n">
        <f aca="false">H298*80%</f>
        <v>108000</v>
      </c>
      <c r="L298" s="0"/>
    </row>
    <row r="299" s="20" customFormat="true" ht="19.5" hidden="false" customHeight="true" outlineLevel="0" collapsed="false">
      <c r="A299" s="11" t="n">
        <v>298</v>
      </c>
      <c r="B299" s="12"/>
      <c r="C299" s="12"/>
      <c r="D299" s="22" t="s">
        <v>48</v>
      </c>
      <c r="E299" s="19" t="n">
        <v>20</v>
      </c>
      <c r="F299" s="19" t="s">
        <v>556</v>
      </c>
      <c r="G299" s="19" t="s">
        <v>58</v>
      </c>
      <c r="H299" s="19" t="n">
        <v>135000</v>
      </c>
      <c r="I299" s="14" t="n">
        <v>108000</v>
      </c>
      <c r="J299" s="14" t="n">
        <f aca="false">E299*I299</f>
        <v>2160000</v>
      </c>
      <c r="K299" s="15" t="n">
        <f aca="false">H299*80%</f>
        <v>108000</v>
      </c>
      <c r="L299" s="0"/>
    </row>
    <row r="300" s="20" customFormat="true" ht="19.5" hidden="false" customHeight="true" outlineLevel="0" collapsed="false">
      <c r="A300" s="11" t="n">
        <v>299</v>
      </c>
      <c r="B300" s="12"/>
      <c r="C300" s="12"/>
      <c r="D300" s="22" t="s">
        <v>48</v>
      </c>
      <c r="E300" s="19" t="n">
        <v>20</v>
      </c>
      <c r="F300" s="19" t="s">
        <v>556</v>
      </c>
      <c r="G300" s="19" t="s">
        <v>58</v>
      </c>
      <c r="H300" s="19" t="n">
        <v>180000</v>
      </c>
      <c r="I300" s="14" t="n">
        <v>144000</v>
      </c>
      <c r="J300" s="14" t="n">
        <f aca="false">E300*I300</f>
        <v>2880000</v>
      </c>
      <c r="K300" s="15" t="n">
        <f aca="false">H300*80%</f>
        <v>144000</v>
      </c>
      <c r="L300" s="0"/>
    </row>
    <row r="301" s="20" customFormat="true" ht="19.5" hidden="false" customHeight="true" outlineLevel="0" collapsed="false">
      <c r="A301" s="11" t="n">
        <v>300</v>
      </c>
      <c r="B301" s="12"/>
      <c r="C301" s="12"/>
      <c r="D301" s="22" t="s">
        <v>48</v>
      </c>
      <c r="E301" s="19" t="n">
        <v>20</v>
      </c>
      <c r="F301" s="19" t="s">
        <v>556</v>
      </c>
      <c r="G301" s="19" t="s">
        <v>58</v>
      </c>
      <c r="H301" s="19" t="n">
        <v>265000</v>
      </c>
      <c r="I301" s="14" t="n">
        <v>212000</v>
      </c>
      <c r="J301" s="14" t="n">
        <f aca="false">E301*I301</f>
        <v>4240000</v>
      </c>
      <c r="K301" s="15" t="n">
        <f aca="false">H301*80%</f>
        <v>212000</v>
      </c>
      <c r="L301" s="0"/>
    </row>
    <row r="302" s="20" customFormat="true" ht="90.75" hidden="false" customHeight="true" outlineLevel="0" collapsed="false">
      <c r="A302" s="11" t="n">
        <v>301</v>
      </c>
      <c r="B302" s="12" t="s">
        <v>557</v>
      </c>
      <c r="C302" s="12" t="s">
        <v>558</v>
      </c>
      <c r="D302" s="22" t="s">
        <v>48</v>
      </c>
      <c r="E302" s="19" t="n">
        <v>20</v>
      </c>
      <c r="F302" s="19" t="s">
        <v>559</v>
      </c>
      <c r="G302" s="19" t="s">
        <v>58</v>
      </c>
      <c r="H302" s="19" t="n">
        <v>20000</v>
      </c>
      <c r="I302" s="14" t="n">
        <v>16000</v>
      </c>
      <c r="J302" s="14" t="n">
        <f aca="false">E302*I302</f>
        <v>320000</v>
      </c>
      <c r="K302" s="15" t="n">
        <f aca="false">H302*80%</f>
        <v>16000</v>
      </c>
      <c r="L302" s="0"/>
    </row>
    <row r="303" s="20" customFormat="true" ht="81.75" hidden="false" customHeight="true" outlineLevel="0" collapsed="false">
      <c r="A303" s="11" t="n">
        <v>302</v>
      </c>
      <c r="B303" s="12"/>
      <c r="C303" s="12" t="s">
        <v>558</v>
      </c>
      <c r="D303" s="22" t="s">
        <v>48</v>
      </c>
      <c r="E303" s="19" t="n">
        <v>20</v>
      </c>
      <c r="F303" s="19" t="s">
        <v>559</v>
      </c>
      <c r="G303" s="19" t="s">
        <v>58</v>
      </c>
      <c r="H303" s="19" t="n">
        <v>45000</v>
      </c>
      <c r="I303" s="14" t="n">
        <v>36000</v>
      </c>
      <c r="J303" s="14" t="n">
        <f aca="false">E303*I303</f>
        <v>720000</v>
      </c>
      <c r="K303" s="15" t="n">
        <f aca="false">H303*80%</f>
        <v>36000</v>
      </c>
      <c r="L303" s="0"/>
    </row>
    <row r="304" s="20" customFormat="true" ht="19.5" hidden="false" customHeight="true" outlineLevel="0" collapsed="false">
      <c r="A304" s="11" t="n">
        <v>303</v>
      </c>
      <c r="B304" s="12"/>
      <c r="C304" s="12"/>
      <c r="D304" s="22" t="s">
        <v>48</v>
      </c>
      <c r="E304" s="19" t="n">
        <v>20</v>
      </c>
      <c r="F304" s="19" t="s">
        <v>559</v>
      </c>
      <c r="G304" s="19" t="s">
        <v>58</v>
      </c>
      <c r="H304" s="19" t="n">
        <v>75000</v>
      </c>
      <c r="I304" s="14" t="n">
        <v>60000</v>
      </c>
      <c r="J304" s="14" t="n">
        <f aca="false">E304*I304</f>
        <v>1200000</v>
      </c>
      <c r="K304" s="15" t="n">
        <f aca="false">H304*80%</f>
        <v>60000</v>
      </c>
      <c r="L304" s="0"/>
    </row>
    <row r="305" s="20" customFormat="true" ht="19.5" hidden="false" customHeight="true" outlineLevel="0" collapsed="false">
      <c r="A305" s="11" t="n">
        <v>304</v>
      </c>
      <c r="B305" s="12"/>
      <c r="C305" s="12"/>
      <c r="D305" s="22" t="s">
        <v>48</v>
      </c>
      <c r="E305" s="19" t="n">
        <v>20</v>
      </c>
      <c r="F305" s="19" t="s">
        <v>559</v>
      </c>
      <c r="G305" s="19" t="s">
        <v>58</v>
      </c>
      <c r="H305" s="19" t="n">
        <v>105000</v>
      </c>
      <c r="I305" s="14" t="n">
        <v>84000</v>
      </c>
      <c r="J305" s="14" t="n">
        <f aca="false">E305*I305</f>
        <v>1680000</v>
      </c>
      <c r="K305" s="15" t="n">
        <f aca="false">H305*80%</f>
        <v>84000</v>
      </c>
      <c r="L305" s="0"/>
    </row>
    <row r="306" s="20" customFormat="true" ht="19.5" hidden="false" customHeight="true" outlineLevel="0" collapsed="false">
      <c r="A306" s="11" t="n">
        <v>305</v>
      </c>
      <c r="B306" s="12"/>
      <c r="C306" s="12"/>
      <c r="D306" s="22" t="s">
        <v>48</v>
      </c>
      <c r="E306" s="19" t="n">
        <v>20</v>
      </c>
      <c r="F306" s="19" t="s">
        <v>559</v>
      </c>
      <c r="G306" s="19" t="s">
        <v>58</v>
      </c>
      <c r="H306" s="19" t="n">
        <v>125000</v>
      </c>
      <c r="I306" s="14" t="n">
        <v>100000</v>
      </c>
      <c r="J306" s="14" t="n">
        <f aca="false">E306*I306</f>
        <v>2000000</v>
      </c>
      <c r="K306" s="15" t="n">
        <f aca="false">H306*80%</f>
        <v>100000</v>
      </c>
      <c r="L306" s="0"/>
    </row>
    <row r="307" s="20" customFormat="true" ht="19.5" hidden="false" customHeight="true" outlineLevel="0" collapsed="false">
      <c r="A307" s="11" t="n">
        <v>306</v>
      </c>
      <c r="B307" s="12"/>
      <c r="C307" s="12"/>
      <c r="D307" s="22" t="s">
        <v>48</v>
      </c>
      <c r="E307" s="19" t="n">
        <v>20</v>
      </c>
      <c r="F307" s="19" t="s">
        <v>559</v>
      </c>
      <c r="G307" s="19" t="s">
        <v>58</v>
      </c>
      <c r="H307" s="19" t="n">
        <v>265000</v>
      </c>
      <c r="I307" s="14" t="n">
        <v>212000</v>
      </c>
      <c r="J307" s="14" t="n">
        <f aca="false">E307*I307</f>
        <v>4240000</v>
      </c>
      <c r="K307" s="15" t="n">
        <f aca="false">H307*80%</f>
        <v>212000</v>
      </c>
      <c r="L307" s="0"/>
    </row>
    <row r="308" s="20" customFormat="true" ht="19.5" hidden="false" customHeight="true" outlineLevel="0" collapsed="false">
      <c r="A308" s="11" t="n">
        <v>307</v>
      </c>
      <c r="B308" s="12"/>
      <c r="C308" s="12"/>
      <c r="D308" s="22" t="s">
        <v>48</v>
      </c>
      <c r="E308" s="19" t="n">
        <v>20</v>
      </c>
      <c r="F308" s="19" t="s">
        <v>559</v>
      </c>
      <c r="G308" s="19" t="s">
        <v>58</v>
      </c>
      <c r="H308" s="19" t="n">
        <v>440000</v>
      </c>
      <c r="I308" s="14" t="n">
        <v>352000</v>
      </c>
      <c r="J308" s="14" t="n">
        <f aca="false">E308*I308</f>
        <v>7040000</v>
      </c>
      <c r="K308" s="15" t="n">
        <f aca="false">H308*80%</f>
        <v>352000</v>
      </c>
      <c r="L308" s="0"/>
    </row>
    <row r="309" s="20" customFormat="true" ht="19.5" hidden="false" customHeight="true" outlineLevel="0" collapsed="false">
      <c r="A309" s="11" t="n">
        <v>308</v>
      </c>
      <c r="B309" s="12"/>
      <c r="C309" s="12"/>
      <c r="D309" s="22" t="s">
        <v>48</v>
      </c>
      <c r="E309" s="19" t="n">
        <v>20</v>
      </c>
      <c r="F309" s="19" t="s">
        <v>559</v>
      </c>
      <c r="G309" s="19" t="s">
        <v>58</v>
      </c>
      <c r="H309" s="19" t="n">
        <v>630000</v>
      </c>
      <c r="I309" s="14" t="n">
        <v>504000</v>
      </c>
      <c r="J309" s="14" t="n">
        <f aca="false">E309*I309</f>
        <v>10080000</v>
      </c>
      <c r="K309" s="15" t="n">
        <f aca="false">H309*80%</f>
        <v>504000</v>
      </c>
      <c r="L309" s="0"/>
    </row>
    <row r="310" s="20" customFormat="true" ht="15.75" hidden="false" customHeight="false" outlineLevel="0" collapsed="false">
      <c r="A310" s="11" t="n">
        <v>309</v>
      </c>
      <c r="B310" s="12" t="s">
        <v>560</v>
      </c>
      <c r="C310" s="12"/>
      <c r="D310" s="22" t="s">
        <v>118</v>
      </c>
      <c r="E310" s="19" t="n">
        <v>4</v>
      </c>
      <c r="F310" s="19" t="s">
        <v>561</v>
      </c>
      <c r="G310" s="19" t="s">
        <v>39</v>
      </c>
      <c r="H310" s="19" t="n">
        <v>3850000</v>
      </c>
      <c r="I310" s="14" t="n">
        <v>3080000</v>
      </c>
      <c r="J310" s="14" t="n">
        <f aca="false">E310*I310</f>
        <v>12320000</v>
      </c>
      <c r="K310" s="15" t="n">
        <f aca="false">H310*80%</f>
        <v>3080000</v>
      </c>
      <c r="L310" s="0"/>
    </row>
    <row r="311" s="20" customFormat="true" ht="15.75" hidden="false" customHeight="false" outlineLevel="0" collapsed="false">
      <c r="A311" s="11" t="n">
        <v>310</v>
      </c>
      <c r="B311" s="26" t="s">
        <v>562</v>
      </c>
      <c r="C311" s="12"/>
      <c r="D311" s="22" t="s">
        <v>48</v>
      </c>
      <c r="E311" s="19" t="n">
        <v>10</v>
      </c>
      <c r="F311" s="19" t="s">
        <v>563</v>
      </c>
      <c r="G311" s="19" t="s">
        <v>14</v>
      </c>
      <c r="H311" s="19" t="n">
        <v>270000</v>
      </c>
      <c r="I311" s="14" t="n">
        <v>216000</v>
      </c>
      <c r="J311" s="14" t="n">
        <f aca="false">E311*I311</f>
        <v>2160000</v>
      </c>
      <c r="K311" s="15" t="n">
        <f aca="false">H311*80%</f>
        <v>216000</v>
      </c>
      <c r="L311" s="0"/>
    </row>
    <row r="312" s="20" customFormat="true" ht="30" hidden="false" customHeight="true" outlineLevel="0" collapsed="false">
      <c r="A312" s="11" t="n">
        <v>311</v>
      </c>
      <c r="B312" s="26" t="s">
        <v>564</v>
      </c>
      <c r="C312" s="12"/>
      <c r="D312" s="22" t="s">
        <v>48</v>
      </c>
      <c r="E312" s="19" t="n">
        <v>50</v>
      </c>
      <c r="F312" s="11" t="s">
        <v>563</v>
      </c>
      <c r="G312" s="11" t="s">
        <v>14</v>
      </c>
      <c r="H312" s="19" t="n">
        <v>390000</v>
      </c>
      <c r="I312" s="14" t="n">
        <v>52000</v>
      </c>
      <c r="J312" s="14" t="n">
        <f aca="false">E312*I312</f>
        <v>2600000</v>
      </c>
      <c r="K312" s="15" t="n">
        <f aca="false">H312*80%</f>
        <v>312000</v>
      </c>
      <c r="L312" s="0"/>
    </row>
    <row r="313" s="20" customFormat="true" ht="30" hidden="false" customHeight="true" outlineLevel="0" collapsed="false">
      <c r="A313" s="11" t="n">
        <v>312</v>
      </c>
      <c r="B313" s="12" t="s">
        <v>565</v>
      </c>
      <c r="C313" s="12"/>
      <c r="D313" s="22" t="s">
        <v>48</v>
      </c>
      <c r="E313" s="19" t="n">
        <v>100</v>
      </c>
      <c r="F313" s="19" t="s">
        <v>566</v>
      </c>
      <c r="G313" s="19" t="s">
        <v>567</v>
      </c>
      <c r="H313" s="19" t="n">
        <v>45000</v>
      </c>
      <c r="I313" s="14" t="n">
        <v>36000</v>
      </c>
      <c r="J313" s="14" t="n">
        <f aca="false">E313*I313</f>
        <v>3600000</v>
      </c>
      <c r="K313" s="15" t="n">
        <f aca="false">H313*80%</f>
        <v>36000</v>
      </c>
      <c r="L313" s="0"/>
    </row>
    <row r="314" s="20" customFormat="true" ht="30" hidden="false" customHeight="true" outlineLevel="0" collapsed="false">
      <c r="A314" s="11" t="n">
        <v>313</v>
      </c>
      <c r="B314" s="26" t="s">
        <v>568</v>
      </c>
      <c r="C314" s="12"/>
      <c r="D314" s="22" t="s">
        <v>48</v>
      </c>
      <c r="E314" s="19" t="n">
        <v>20</v>
      </c>
      <c r="F314" s="19" t="s">
        <v>566</v>
      </c>
      <c r="G314" s="19" t="s">
        <v>567</v>
      </c>
      <c r="H314" s="19" t="n">
        <v>45000</v>
      </c>
      <c r="I314" s="14" t="n">
        <v>36000</v>
      </c>
      <c r="J314" s="14" t="n">
        <f aca="false">E314*I314</f>
        <v>720000</v>
      </c>
      <c r="K314" s="15" t="n">
        <f aca="false">H314*80%</f>
        <v>36000</v>
      </c>
      <c r="L314" s="0"/>
    </row>
    <row r="315" s="20" customFormat="true" ht="30" hidden="false" customHeight="true" outlineLevel="0" collapsed="false">
      <c r="A315" s="11" t="n">
        <v>314</v>
      </c>
      <c r="B315" s="26" t="s">
        <v>569</v>
      </c>
      <c r="C315" s="12"/>
      <c r="D315" s="22" t="s">
        <v>48</v>
      </c>
      <c r="E315" s="19" t="n">
        <v>10</v>
      </c>
      <c r="F315" s="19" t="s">
        <v>566</v>
      </c>
      <c r="G315" s="19" t="s">
        <v>567</v>
      </c>
      <c r="H315" s="19" t="n">
        <v>88000</v>
      </c>
      <c r="I315" s="14" t="n">
        <v>70400</v>
      </c>
      <c r="J315" s="14" t="n">
        <f aca="false">E315*I315</f>
        <v>704000</v>
      </c>
      <c r="K315" s="15" t="n">
        <f aca="false">H315*80%</f>
        <v>70400</v>
      </c>
      <c r="L315" s="0"/>
    </row>
    <row r="316" s="20" customFormat="true" ht="30" hidden="false" customHeight="true" outlineLevel="0" collapsed="false">
      <c r="A316" s="11" t="n">
        <v>315</v>
      </c>
      <c r="B316" s="26" t="s">
        <v>570</v>
      </c>
      <c r="C316" s="12"/>
      <c r="D316" s="22" t="s">
        <v>48</v>
      </c>
      <c r="E316" s="19" t="n">
        <v>5</v>
      </c>
      <c r="F316" s="19" t="s">
        <v>566</v>
      </c>
      <c r="G316" s="19" t="s">
        <v>567</v>
      </c>
      <c r="H316" s="19" t="n">
        <v>55000</v>
      </c>
      <c r="I316" s="14" t="n">
        <v>44000</v>
      </c>
      <c r="J316" s="14" t="n">
        <f aca="false">E316*I316</f>
        <v>220000</v>
      </c>
      <c r="K316" s="15" t="n">
        <f aca="false">H316*80%</f>
        <v>44000</v>
      </c>
      <c r="L316" s="0"/>
    </row>
    <row r="317" s="20" customFormat="true" ht="30" hidden="false" customHeight="true" outlineLevel="0" collapsed="false">
      <c r="A317" s="11" t="n">
        <v>316</v>
      </c>
      <c r="B317" s="26" t="s">
        <v>571</v>
      </c>
      <c r="C317" s="12"/>
      <c r="D317" s="22" t="s">
        <v>48</v>
      </c>
      <c r="E317" s="19" t="n">
        <v>5</v>
      </c>
      <c r="F317" s="19" t="s">
        <v>566</v>
      </c>
      <c r="G317" s="19" t="s">
        <v>567</v>
      </c>
      <c r="H317" s="19" t="n">
        <v>88000</v>
      </c>
      <c r="I317" s="14" t="n">
        <v>70400</v>
      </c>
      <c r="J317" s="14" t="n">
        <f aca="false">E317*I317</f>
        <v>352000</v>
      </c>
      <c r="K317" s="15" t="n">
        <f aca="false">H317*80%</f>
        <v>70400</v>
      </c>
      <c r="L317" s="0"/>
    </row>
    <row r="318" s="20" customFormat="true" ht="15.75" hidden="false" customHeight="false" outlineLevel="0" collapsed="false">
      <c r="A318" s="11" t="n">
        <v>317</v>
      </c>
      <c r="B318" s="26" t="s">
        <v>572</v>
      </c>
      <c r="C318" s="18"/>
      <c r="D318" s="22" t="s">
        <v>48</v>
      </c>
      <c r="E318" s="19" t="n">
        <v>2</v>
      </c>
      <c r="F318" s="19" t="s">
        <v>39</v>
      </c>
      <c r="G318" s="19" t="s">
        <v>58</v>
      </c>
      <c r="H318" s="19" t="n">
        <v>330000</v>
      </c>
      <c r="I318" s="14" t="n">
        <v>264000</v>
      </c>
      <c r="J318" s="14" t="n">
        <f aca="false">E318*I318</f>
        <v>528000</v>
      </c>
      <c r="K318" s="15" t="n">
        <f aca="false">H318*80%</f>
        <v>264000</v>
      </c>
      <c r="L318" s="0"/>
    </row>
    <row r="319" s="20" customFormat="true" ht="15.75" hidden="false" customHeight="false" outlineLevel="0" collapsed="false">
      <c r="A319" s="11" t="n">
        <v>318</v>
      </c>
      <c r="B319" s="26" t="s">
        <v>573</v>
      </c>
      <c r="C319" s="18"/>
      <c r="D319" s="22" t="s">
        <v>48</v>
      </c>
      <c r="E319" s="19" t="n">
        <v>2</v>
      </c>
      <c r="F319" s="19" t="s">
        <v>39</v>
      </c>
      <c r="G319" s="19" t="s">
        <v>58</v>
      </c>
      <c r="H319" s="19" t="n">
        <v>265000</v>
      </c>
      <c r="I319" s="14" t="n">
        <v>212000</v>
      </c>
      <c r="J319" s="14" t="n">
        <f aca="false">E319*I319</f>
        <v>424000</v>
      </c>
      <c r="K319" s="15" t="n">
        <f aca="false">H319*80%</f>
        <v>212000</v>
      </c>
      <c r="L319" s="0"/>
    </row>
    <row r="320" s="20" customFormat="true" ht="15.75" hidden="false" customHeight="false" outlineLevel="0" collapsed="false">
      <c r="A320" s="11" t="n">
        <v>319</v>
      </c>
      <c r="B320" s="26" t="s">
        <v>574</v>
      </c>
      <c r="C320" s="18"/>
      <c r="D320" s="22" t="s">
        <v>48</v>
      </c>
      <c r="E320" s="19" t="n">
        <v>2</v>
      </c>
      <c r="F320" s="19" t="s">
        <v>559</v>
      </c>
      <c r="G320" s="19" t="s">
        <v>58</v>
      </c>
      <c r="H320" s="19" t="n">
        <v>269000</v>
      </c>
      <c r="I320" s="14" t="n">
        <v>215200</v>
      </c>
      <c r="J320" s="14" t="n">
        <f aca="false">E320*I320</f>
        <v>430400</v>
      </c>
      <c r="K320" s="15" t="n">
        <f aca="false">H320*80%</f>
        <v>215200</v>
      </c>
      <c r="L320" s="0"/>
    </row>
    <row r="321" s="20" customFormat="true" ht="39.55" hidden="false" customHeight="false" outlineLevel="0" collapsed="false">
      <c r="A321" s="11" t="n">
        <v>320</v>
      </c>
      <c r="B321" s="26" t="s">
        <v>575</v>
      </c>
      <c r="C321" s="18" t="s">
        <v>576</v>
      </c>
      <c r="D321" s="22" t="s">
        <v>48</v>
      </c>
      <c r="E321" s="19" t="n">
        <v>20</v>
      </c>
      <c r="F321" s="19" t="s">
        <v>532</v>
      </c>
      <c r="G321" s="19" t="s">
        <v>58</v>
      </c>
      <c r="H321" s="19" t="n">
        <v>34000</v>
      </c>
      <c r="I321" s="14" t="n">
        <v>27200</v>
      </c>
      <c r="J321" s="14" t="n">
        <f aca="false">E321*I321</f>
        <v>544000</v>
      </c>
      <c r="K321" s="15" t="n">
        <f aca="false">H321*80%</f>
        <v>27200</v>
      </c>
      <c r="L321" s="0"/>
    </row>
    <row r="322" s="20" customFormat="true" ht="39.55" hidden="false" customHeight="false" outlineLevel="0" collapsed="false">
      <c r="A322" s="11" t="n">
        <v>321</v>
      </c>
      <c r="B322" s="26" t="s">
        <v>577</v>
      </c>
      <c r="C322" s="18" t="s">
        <v>578</v>
      </c>
      <c r="D322" s="22" t="s">
        <v>48</v>
      </c>
      <c r="E322" s="19" t="n">
        <v>10</v>
      </c>
      <c r="F322" s="19" t="s">
        <v>39</v>
      </c>
      <c r="G322" s="19" t="s">
        <v>58</v>
      </c>
      <c r="H322" s="19" t="n">
        <v>65000</v>
      </c>
      <c r="I322" s="14" t="n">
        <v>52000</v>
      </c>
      <c r="J322" s="14" t="n">
        <f aca="false">E322*I322</f>
        <v>520000</v>
      </c>
      <c r="K322" s="15" t="n">
        <f aca="false">H322*80%</f>
        <v>52000</v>
      </c>
      <c r="L322" s="0"/>
    </row>
    <row r="323" s="20" customFormat="true" ht="15.75" hidden="false" customHeight="false" outlineLevel="0" collapsed="false">
      <c r="A323" s="11" t="n">
        <v>322</v>
      </c>
      <c r="B323" s="26" t="s">
        <v>579</v>
      </c>
      <c r="C323" s="18"/>
      <c r="D323" s="22" t="s">
        <v>48</v>
      </c>
      <c r="E323" s="19" t="n">
        <v>10</v>
      </c>
      <c r="F323" s="19" t="s">
        <v>532</v>
      </c>
      <c r="G323" s="19" t="s">
        <v>58</v>
      </c>
      <c r="H323" s="19" t="n">
        <v>470000</v>
      </c>
      <c r="I323" s="14" t="n">
        <v>35000</v>
      </c>
      <c r="J323" s="14" t="n">
        <f aca="false">E323*I323</f>
        <v>350000</v>
      </c>
      <c r="K323" s="15" t="n">
        <f aca="false">H323*80%</f>
        <v>376000</v>
      </c>
      <c r="L323" s="0"/>
    </row>
    <row r="324" s="20" customFormat="true" ht="15.75" hidden="false" customHeight="false" outlineLevel="0" collapsed="false">
      <c r="A324" s="11" t="n">
        <v>323</v>
      </c>
      <c r="B324" s="26" t="s">
        <v>580</v>
      </c>
      <c r="C324" s="18"/>
      <c r="D324" s="22" t="s">
        <v>48</v>
      </c>
      <c r="E324" s="19" t="n">
        <v>10</v>
      </c>
      <c r="F324" s="40" t="s">
        <v>581</v>
      </c>
      <c r="G324" s="19" t="s">
        <v>58</v>
      </c>
      <c r="H324" s="19" t="n">
        <v>85000</v>
      </c>
      <c r="I324" s="14" t="n">
        <v>68000</v>
      </c>
      <c r="J324" s="14" t="n">
        <f aca="false">E324*I324</f>
        <v>680000</v>
      </c>
      <c r="K324" s="15" t="n">
        <f aca="false">H324*80%</f>
        <v>68000</v>
      </c>
      <c r="L324" s="0"/>
    </row>
    <row r="325" s="20" customFormat="true" ht="102.95" hidden="false" customHeight="false" outlineLevel="0" collapsed="false">
      <c r="A325" s="11" t="n">
        <v>324</v>
      </c>
      <c r="B325" s="26" t="s">
        <v>582</v>
      </c>
      <c r="C325" s="18" t="s">
        <v>583</v>
      </c>
      <c r="D325" s="22" t="s">
        <v>118</v>
      </c>
      <c r="E325" s="19" t="n">
        <v>2</v>
      </c>
      <c r="F325" s="19" t="s">
        <v>584</v>
      </c>
      <c r="G325" s="19" t="s">
        <v>585</v>
      </c>
      <c r="H325" s="19" t="n">
        <v>265000</v>
      </c>
      <c r="I325" s="14" t="n">
        <v>212000</v>
      </c>
      <c r="J325" s="14" t="n">
        <f aca="false">E325*I325</f>
        <v>424000</v>
      </c>
      <c r="K325" s="15" t="n">
        <f aca="false">H325*80%</f>
        <v>212000</v>
      </c>
      <c r="L325" s="0"/>
    </row>
    <row r="326" s="20" customFormat="true" ht="19.5" hidden="false" customHeight="true" outlineLevel="0" collapsed="false">
      <c r="A326" s="11" t="n">
        <v>325</v>
      </c>
      <c r="B326" s="26" t="s">
        <v>586</v>
      </c>
      <c r="C326" s="12"/>
      <c r="D326" s="22" t="s">
        <v>48</v>
      </c>
      <c r="E326" s="19" t="n">
        <v>192</v>
      </c>
      <c r="F326" s="19" t="s">
        <v>39</v>
      </c>
      <c r="G326" s="19" t="s">
        <v>14</v>
      </c>
      <c r="H326" s="19" t="n">
        <v>80000</v>
      </c>
      <c r="I326" s="14" t="n">
        <v>64000</v>
      </c>
      <c r="J326" s="14" t="n">
        <f aca="false">E326*I326</f>
        <v>12288000</v>
      </c>
      <c r="K326" s="15" t="n">
        <f aca="false">H326*80%</f>
        <v>64000</v>
      </c>
      <c r="L326" s="0"/>
    </row>
    <row r="327" s="20" customFormat="true" ht="19.5" hidden="false" customHeight="true" outlineLevel="0" collapsed="false">
      <c r="A327" s="11" t="n">
        <v>326</v>
      </c>
      <c r="B327" s="26" t="s">
        <v>587</v>
      </c>
      <c r="C327" s="12"/>
      <c r="D327" s="22" t="s">
        <v>48</v>
      </c>
      <c r="E327" s="19" t="n">
        <v>288</v>
      </c>
      <c r="F327" s="19" t="s">
        <v>39</v>
      </c>
      <c r="G327" s="19" t="s">
        <v>14</v>
      </c>
      <c r="H327" s="19" t="n">
        <v>90000</v>
      </c>
      <c r="I327" s="14" t="n">
        <v>72000</v>
      </c>
      <c r="J327" s="14" t="n">
        <f aca="false">E327*I327</f>
        <v>20736000</v>
      </c>
      <c r="K327" s="15" t="n">
        <f aca="false">H327*80%</f>
        <v>72000</v>
      </c>
      <c r="L327" s="0"/>
    </row>
    <row r="328" s="20" customFormat="true" ht="19.5" hidden="false" customHeight="true" outlineLevel="0" collapsed="false">
      <c r="A328" s="11" t="n">
        <v>327</v>
      </c>
      <c r="B328" s="26" t="s">
        <v>586</v>
      </c>
      <c r="C328" s="12"/>
      <c r="D328" s="22" t="s">
        <v>48</v>
      </c>
      <c r="E328" s="19" t="n">
        <v>263</v>
      </c>
      <c r="F328" s="19" t="s">
        <v>39</v>
      </c>
      <c r="G328" s="19" t="s">
        <v>14</v>
      </c>
      <c r="H328" s="19" t="n">
        <v>75000</v>
      </c>
      <c r="I328" s="14" t="n">
        <v>60000</v>
      </c>
      <c r="J328" s="14" t="n">
        <f aca="false">E328*I328</f>
        <v>15780000</v>
      </c>
      <c r="K328" s="15" t="n">
        <f aca="false">H328*80%</f>
        <v>60000</v>
      </c>
      <c r="L328" s="0"/>
    </row>
    <row r="329" s="20" customFormat="true" ht="19.5" hidden="false" customHeight="true" outlineLevel="0" collapsed="false">
      <c r="A329" s="11" t="n">
        <v>328</v>
      </c>
      <c r="B329" s="26" t="s">
        <v>587</v>
      </c>
      <c r="C329" s="12"/>
      <c r="D329" s="22" t="s">
        <v>48</v>
      </c>
      <c r="E329" s="19" t="n">
        <v>263</v>
      </c>
      <c r="F329" s="19" t="s">
        <v>39</v>
      </c>
      <c r="G329" s="19" t="s">
        <v>14</v>
      </c>
      <c r="H329" s="19" t="n">
        <v>80000</v>
      </c>
      <c r="I329" s="14" t="n">
        <v>64000</v>
      </c>
      <c r="J329" s="14" t="n">
        <f aca="false">E329*I329</f>
        <v>16832000</v>
      </c>
      <c r="K329" s="15" t="n">
        <f aca="false">H329*80%</f>
        <v>64000</v>
      </c>
      <c r="L329" s="0"/>
    </row>
    <row r="330" s="44" customFormat="true" ht="15.75" hidden="false" customHeight="false" outlineLevel="0" collapsed="false">
      <c r="A330" s="11" t="n">
        <v>329</v>
      </c>
      <c r="B330" s="41" t="s">
        <v>588</v>
      </c>
      <c r="C330" s="12"/>
      <c r="D330" s="42" t="s">
        <v>48</v>
      </c>
      <c r="E330" s="43" t="n">
        <v>32</v>
      </c>
      <c r="F330" s="43" t="s">
        <v>39</v>
      </c>
      <c r="G330" s="43" t="s">
        <v>14</v>
      </c>
      <c r="H330" s="43" t="n">
        <v>70000</v>
      </c>
      <c r="I330" s="14" t="n">
        <v>56000</v>
      </c>
      <c r="J330" s="14" t="n">
        <f aca="false">E330*I330</f>
        <v>1792000</v>
      </c>
      <c r="K330" s="15" t="n">
        <f aca="false">H330*80%</f>
        <v>56000</v>
      </c>
      <c r="L330" s="0"/>
    </row>
    <row r="331" s="20" customFormat="true" ht="165" hidden="false" customHeight="true" outlineLevel="0" collapsed="false">
      <c r="A331" s="11" t="n">
        <v>330</v>
      </c>
      <c r="B331" s="26" t="s">
        <v>589</v>
      </c>
      <c r="C331" s="12" t="s">
        <v>590</v>
      </c>
      <c r="D331" s="22" t="s">
        <v>118</v>
      </c>
      <c r="E331" s="19" t="n">
        <v>10</v>
      </c>
      <c r="F331" s="19" t="s">
        <v>591</v>
      </c>
      <c r="G331" s="19" t="s">
        <v>113</v>
      </c>
      <c r="H331" s="19" t="n">
        <v>735000</v>
      </c>
      <c r="I331" s="14" t="n">
        <v>588000</v>
      </c>
      <c r="J331" s="14" t="n">
        <f aca="false">E331*I331</f>
        <v>5880000</v>
      </c>
      <c r="K331" s="15" t="n">
        <f aca="false">H331*80%</f>
        <v>588000</v>
      </c>
      <c r="L331" s="0"/>
    </row>
    <row r="332" s="20" customFormat="true" ht="48.75" hidden="false" customHeight="true" outlineLevel="0" collapsed="false">
      <c r="A332" s="11" t="n">
        <v>331</v>
      </c>
      <c r="B332" s="26" t="s">
        <v>592</v>
      </c>
      <c r="C332" s="12" t="s">
        <v>593</v>
      </c>
      <c r="D332" s="22" t="s">
        <v>300</v>
      </c>
      <c r="E332" s="19" t="n">
        <v>8</v>
      </c>
      <c r="F332" s="19" t="s">
        <v>39</v>
      </c>
      <c r="G332" s="19" t="s">
        <v>14</v>
      </c>
      <c r="H332" s="19" t="n">
        <v>146000</v>
      </c>
      <c r="I332" s="14" t="n">
        <v>116800</v>
      </c>
      <c r="J332" s="14" t="n">
        <f aca="false">E332*I332</f>
        <v>934400</v>
      </c>
      <c r="K332" s="15" t="n">
        <f aca="false">H332*80%</f>
        <v>116800</v>
      </c>
      <c r="L332" s="0"/>
    </row>
    <row r="333" s="20" customFormat="true" ht="19.5" hidden="false" customHeight="true" outlineLevel="0" collapsed="false">
      <c r="A333" s="11" t="n">
        <v>332</v>
      </c>
      <c r="B333" s="26" t="s">
        <v>594</v>
      </c>
      <c r="C333" s="12" t="s">
        <v>595</v>
      </c>
      <c r="D333" s="27" t="s">
        <v>596</v>
      </c>
      <c r="E333" s="19" t="n">
        <v>300</v>
      </c>
      <c r="F333" s="19" t="s">
        <v>597</v>
      </c>
      <c r="G333" s="19" t="s">
        <v>113</v>
      </c>
      <c r="H333" s="19" t="n">
        <v>25000</v>
      </c>
      <c r="I333" s="14" t="n">
        <v>20000</v>
      </c>
      <c r="J333" s="14" t="n">
        <f aca="false">E333*I333</f>
        <v>6000000</v>
      </c>
      <c r="K333" s="15" t="n">
        <f aca="false">H333*80%</f>
        <v>20000</v>
      </c>
      <c r="L333" s="0"/>
    </row>
    <row r="334" s="20" customFormat="true" ht="19.5" hidden="false" customHeight="true" outlineLevel="0" collapsed="false">
      <c r="A334" s="11" t="n">
        <v>333</v>
      </c>
      <c r="B334" s="26" t="s">
        <v>598</v>
      </c>
      <c r="C334" s="12" t="s">
        <v>599</v>
      </c>
      <c r="D334" s="22" t="s">
        <v>48</v>
      </c>
      <c r="E334" s="19" t="n">
        <v>5</v>
      </c>
      <c r="F334" s="19" t="s">
        <v>600</v>
      </c>
      <c r="G334" s="19" t="s">
        <v>522</v>
      </c>
      <c r="H334" s="19" t="n">
        <v>400000</v>
      </c>
      <c r="I334" s="14" t="n">
        <v>370000</v>
      </c>
      <c r="J334" s="14" t="n">
        <f aca="false">E334*I334</f>
        <v>1850000</v>
      </c>
      <c r="K334" s="15" t="n">
        <f aca="false">H334*80%</f>
        <v>320000</v>
      </c>
      <c r="L334" s="0"/>
    </row>
    <row r="335" s="20" customFormat="true" ht="61.5" hidden="false" customHeight="true" outlineLevel="0" collapsed="false">
      <c r="A335" s="11" t="n">
        <v>334</v>
      </c>
      <c r="B335" s="26" t="s">
        <v>601</v>
      </c>
      <c r="C335" s="12" t="s">
        <v>602</v>
      </c>
      <c r="D335" s="22" t="s">
        <v>48</v>
      </c>
      <c r="E335" s="19" t="n">
        <v>5</v>
      </c>
      <c r="F335" s="19" t="s">
        <v>603</v>
      </c>
      <c r="G335" s="19" t="s">
        <v>58</v>
      </c>
      <c r="H335" s="19" t="n">
        <v>235000</v>
      </c>
      <c r="I335" s="14" t="n">
        <v>220000</v>
      </c>
      <c r="J335" s="14" t="n">
        <f aca="false">E335*I335</f>
        <v>1100000</v>
      </c>
      <c r="K335" s="15" t="n">
        <f aca="false">H335*80%</f>
        <v>188000</v>
      </c>
      <c r="L335" s="0"/>
    </row>
    <row r="336" s="20" customFormat="true" ht="19.5" hidden="false" customHeight="true" outlineLevel="0" collapsed="false">
      <c r="A336" s="11" t="n">
        <v>335</v>
      </c>
      <c r="B336" s="12" t="s">
        <v>604</v>
      </c>
      <c r="C336" s="12" t="s">
        <v>605</v>
      </c>
      <c r="D336" s="22" t="s">
        <v>48</v>
      </c>
      <c r="E336" s="19" t="n">
        <v>60</v>
      </c>
      <c r="F336" s="19" t="s">
        <v>364</v>
      </c>
      <c r="G336" s="19" t="s">
        <v>14</v>
      </c>
      <c r="H336" s="19" t="n">
        <v>15000</v>
      </c>
      <c r="I336" s="14" t="n">
        <v>20000</v>
      </c>
      <c r="J336" s="14" t="n">
        <f aca="false">E336*I336</f>
        <v>1200000</v>
      </c>
      <c r="K336" s="15" t="n">
        <f aca="false">H336*80%</f>
        <v>12000</v>
      </c>
      <c r="L336" s="0"/>
    </row>
    <row r="337" s="20" customFormat="true" ht="156.75" hidden="false" customHeight="true" outlineLevel="0" collapsed="false">
      <c r="A337" s="11" t="n">
        <v>336</v>
      </c>
      <c r="B337" s="26" t="s">
        <v>606</v>
      </c>
      <c r="C337" s="12" t="s">
        <v>607</v>
      </c>
      <c r="D337" s="22" t="s">
        <v>48</v>
      </c>
      <c r="E337" s="19" t="n">
        <v>10</v>
      </c>
      <c r="F337" s="19" t="s">
        <v>603</v>
      </c>
      <c r="G337" s="19" t="s">
        <v>58</v>
      </c>
      <c r="H337" s="19" t="n">
        <v>310000</v>
      </c>
      <c r="I337" s="14" t="n">
        <v>245000</v>
      </c>
      <c r="J337" s="14" t="n">
        <f aca="false">E337*I337</f>
        <v>2450000</v>
      </c>
      <c r="K337" s="15" t="n">
        <f aca="false">H337*80%</f>
        <v>248000</v>
      </c>
      <c r="L337" s="0"/>
    </row>
    <row r="338" s="20" customFormat="true" ht="19.5" hidden="false" customHeight="true" outlineLevel="0" collapsed="false">
      <c r="A338" s="11" t="n">
        <v>337</v>
      </c>
      <c r="B338" s="12" t="s">
        <v>608</v>
      </c>
      <c r="C338" s="12" t="s">
        <v>609</v>
      </c>
      <c r="D338" s="22" t="s">
        <v>48</v>
      </c>
      <c r="E338" s="13" t="n">
        <v>12</v>
      </c>
      <c r="F338" s="13" t="s">
        <v>610</v>
      </c>
      <c r="G338" s="13" t="s">
        <v>58</v>
      </c>
      <c r="H338" s="13" t="n">
        <v>215000</v>
      </c>
      <c r="I338" s="14" t="n">
        <v>172000</v>
      </c>
      <c r="J338" s="14" t="n">
        <f aca="false">E338*I338</f>
        <v>2064000</v>
      </c>
      <c r="K338" s="15" t="n">
        <f aca="false">H338*80%</f>
        <v>172000</v>
      </c>
      <c r="L338" s="0"/>
    </row>
    <row r="339" s="20" customFormat="true" ht="34.5" hidden="false" customHeight="true" outlineLevel="0" collapsed="false">
      <c r="A339" s="11" t="n">
        <v>338</v>
      </c>
      <c r="B339" s="26" t="s">
        <v>611</v>
      </c>
      <c r="C339" s="12" t="s">
        <v>612</v>
      </c>
      <c r="D339" s="22" t="s">
        <v>48</v>
      </c>
      <c r="E339" s="19" t="n">
        <v>70</v>
      </c>
      <c r="F339" s="19" t="s">
        <v>603</v>
      </c>
      <c r="G339" s="19" t="s">
        <v>58</v>
      </c>
      <c r="H339" s="19" t="n">
        <v>160000</v>
      </c>
      <c r="I339" s="14" t="n">
        <v>128000</v>
      </c>
      <c r="J339" s="14" t="n">
        <f aca="false">E339*I339</f>
        <v>8960000</v>
      </c>
      <c r="K339" s="15" t="n">
        <f aca="false">H339*80%</f>
        <v>128000</v>
      </c>
      <c r="L339" s="0"/>
    </row>
    <row r="340" customFormat="false" ht="79.5" hidden="false" customHeight="true" outlineLevel="0" collapsed="false">
      <c r="A340" s="11" t="n">
        <v>339</v>
      </c>
      <c r="B340" s="12" t="s">
        <v>613</v>
      </c>
      <c r="C340" s="12" t="s">
        <v>614</v>
      </c>
      <c r="D340" s="11" t="s">
        <v>48</v>
      </c>
      <c r="E340" s="13" t="n">
        <v>300</v>
      </c>
      <c r="F340" s="13" t="s">
        <v>600</v>
      </c>
      <c r="G340" s="13" t="s">
        <v>522</v>
      </c>
      <c r="H340" s="13" t="n">
        <v>38000</v>
      </c>
      <c r="I340" s="14" t="n">
        <v>30400</v>
      </c>
      <c r="J340" s="14" t="n">
        <f aca="false">E340*I340</f>
        <v>9120000</v>
      </c>
      <c r="K340" s="15" t="n">
        <f aca="false">H340*80%</f>
        <v>30400</v>
      </c>
    </row>
    <row r="341" s="20" customFormat="true" ht="19.5" hidden="false" customHeight="true" outlineLevel="0" collapsed="false">
      <c r="A341" s="11" t="n">
        <v>340</v>
      </c>
      <c r="B341" s="26" t="s">
        <v>615</v>
      </c>
      <c r="C341" s="12"/>
      <c r="D341" s="22" t="s">
        <v>48</v>
      </c>
      <c r="E341" s="19" t="n">
        <v>10</v>
      </c>
      <c r="F341" s="19" t="s">
        <v>616</v>
      </c>
      <c r="G341" s="19" t="s">
        <v>113</v>
      </c>
      <c r="H341" s="19" t="n">
        <v>1002000</v>
      </c>
      <c r="I341" s="14" t="n">
        <v>801600</v>
      </c>
      <c r="J341" s="14" t="n">
        <f aca="false">E341*I341</f>
        <v>8016000</v>
      </c>
      <c r="K341" s="15" t="n">
        <f aca="false">H341*80%</f>
        <v>801600</v>
      </c>
      <c r="L341" s="0"/>
    </row>
    <row r="342" s="20" customFormat="true" ht="19.5" hidden="false" customHeight="true" outlineLevel="0" collapsed="false">
      <c r="A342" s="11" t="n">
        <v>341</v>
      </c>
      <c r="B342" s="26"/>
      <c r="C342" s="12"/>
      <c r="D342" s="22" t="s">
        <v>48</v>
      </c>
      <c r="E342" s="19" t="n">
        <v>10</v>
      </c>
      <c r="F342" s="19" t="s">
        <v>616</v>
      </c>
      <c r="G342" s="19" t="s">
        <v>113</v>
      </c>
      <c r="H342" s="19" t="n">
        <v>800000</v>
      </c>
      <c r="I342" s="14" t="n">
        <v>640000</v>
      </c>
      <c r="J342" s="14" t="n">
        <f aca="false">E342*I342</f>
        <v>6400000</v>
      </c>
      <c r="K342" s="15" t="n">
        <f aca="false">H342*80%</f>
        <v>640000</v>
      </c>
      <c r="L342" s="0"/>
    </row>
    <row r="343" s="20" customFormat="true" ht="19.5" hidden="false" customHeight="true" outlineLevel="0" collapsed="false">
      <c r="A343" s="11" t="n">
        <v>342</v>
      </c>
      <c r="B343" s="26"/>
      <c r="C343" s="12"/>
      <c r="D343" s="22" t="s">
        <v>48</v>
      </c>
      <c r="E343" s="19" t="n">
        <v>5</v>
      </c>
      <c r="F343" s="19" t="s">
        <v>616</v>
      </c>
      <c r="G343" s="19" t="s">
        <v>113</v>
      </c>
      <c r="H343" s="19" t="n">
        <v>780000</v>
      </c>
      <c r="I343" s="14" t="n">
        <v>624000</v>
      </c>
      <c r="J343" s="14" t="n">
        <f aca="false">E343*I343</f>
        <v>3120000</v>
      </c>
      <c r="K343" s="15" t="n">
        <f aca="false">H343*80%</f>
        <v>624000</v>
      </c>
      <c r="L343" s="0"/>
    </row>
    <row r="344" s="20" customFormat="true" ht="19.5" hidden="false" customHeight="true" outlineLevel="0" collapsed="false">
      <c r="A344" s="11" t="n">
        <v>343</v>
      </c>
      <c r="B344" s="26" t="s">
        <v>617</v>
      </c>
      <c r="C344" s="12"/>
      <c r="D344" s="22" t="s">
        <v>48</v>
      </c>
      <c r="E344" s="19" t="n">
        <v>20</v>
      </c>
      <c r="F344" s="19" t="s">
        <v>39</v>
      </c>
      <c r="G344" s="19" t="s">
        <v>14</v>
      </c>
      <c r="H344" s="19" t="n">
        <v>50000</v>
      </c>
      <c r="I344" s="14" t="n">
        <v>40000</v>
      </c>
      <c r="J344" s="14" t="n">
        <f aca="false">E344*I344</f>
        <v>800000</v>
      </c>
      <c r="K344" s="15" t="n">
        <f aca="false">H344*80%</f>
        <v>40000</v>
      </c>
      <c r="L344" s="0"/>
    </row>
    <row r="345" s="20" customFormat="true" ht="30" hidden="false" customHeight="true" outlineLevel="0" collapsed="false">
      <c r="A345" s="11" t="n">
        <v>344</v>
      </c>
      <c r="B345" s="12" t="s">
        <v>618</v>
      </c>
      <c r="C345" s="12"/>
      <c r="D345" s="11" t="s">
        <v>48</v>
      </c>
      <c r="E345" s="13" t="n">
        <v>10</v>
      </c>
      <c r="F345" s="13" t="s">
        <v>559</v>
      </c>
      <c r="G345" s="13" t="s">
        <v>58</v>
      </c>
      <c r="H345" s="13" t="n">
        <v>135000</v>
      </c>
      <c r="I345" s="14" t="n">
        <v>108000</v>
      </c>
      <c r="J345" s="14" t="n">
        <f aca="false">E345*I345</f>
        <v>1080000</v>
      </c>
      <c r="K345" s="15" t="n">
        <f aca="false">H345*80%</f>
        <v>108000</v>
      </c>
      <c r="L345" s="0"/>
    </row>
    <row r="346" s="20" customFormat="true" ht="30" hidden="false" customHeight="true" outlineLevel="0" collapsed="false">
      <c r="A346" s="11" t="n">
        <v>345</v>
      </c>
      <c r="B346" s="12"/>
      <c r="C346" s="12"/>
      <c r="D346" s="11" t="s">
        <v>48</v>
      </c>
      <c r="E346" s="13" t="n">
        <v>10</v>
      </c>
      <c r="F346" s="13" t="s">
        <v>559</v>
      </c>
      <c r="G346" s="13" t="s">
        <v>58</v>
      </c>
      <c r="H346" s="13" t="n">
        <v>165000</v>
      </c>
      <c r="I346" s="14" t="n">
        <v>132000</v>
      </c>
      <c r="J346" s="14" t="n">
        <f aca="false">E346*I346</f>
        <v>1320000</v>
      </c>
      <c r="K346" s="15" t="n">
        <f aca="false">H346*80%</f>
        <v>132000</v>
      </c>
      <c r="L346" s="0"/>
    </row>
    <row r="347" s="20" customFormat="true" ht="30" hidden="false" customHeight="true" outlineLevel="0" collapsed="false">
      <c r="A347" s="11" t="n">
        <v>346</v>
      </c>
      <c r="B347" s="12"/>
      <c r="C347" s="12"/>
      <c r="D347" s="11" t="s">
        <v>48</v>
      </c>
      <c r="E347" s="19" t="n">
        <v>10</v>
      </c>
      <c r="F347" s="13" t="s">
        <v>559</v>
      </c>
      <c r="G347" s="13" t="s">
        <v>58</v>
      </c>
      <c r="H347" s="19" t="n">
        <v>210000</v>
      </c>
      <c r="I347" s="14" t="n">
        <v>168000</v>
      </c>
      <c r="J347" s="14" t="n">
        <f aca="false">E347*I347</f>
        <v>1680000</v>
      </c>
      <c r="K347" s="15" t="n">
        <f aca="false">H347*80%</f>
        <v>168000</v>
      </c>
      <c r="L347" s="0"/>
    </row>
    <row r="348" s="20" customFormat="true" ht="89.25" hidden="false" customHeight="true" outlineLevel="0" collapsed="false">
      <c r="A348" s="11" t="n">
        <v>347</v>
      </c>
      <c r="B348" s="26" t="s">
        <v>619</v>
      </c>
      <c r="C348" s="12" t="s">
        <v>620</v>
      </c>
      <c r="D348" s="11" t="s">
        <v>48</v>
      </c>
      <c r="E348" s="19" t="n">
        <v>50</v>
      </c>
      <c r="F348" s="19" t="s">
        <v>616</v>
      </c>
      <c r="G348" s="19" t="s">
        <v>113</v>
      </c>
      <c r="H348" s="19" t="n">
        <v>38000</v>
      </c>
      <c r="I348" s="14" t="n">
        <v>30400</v>
      </c>
      <c r="J348" s="14" t="n">
        <f aca="false">E348*I348</f>
        <v>1520000</v>
      </c>
      <c r="K348" s="15" t="n">
        <f aca="false">H348*80%</f>
        <v>30400</v>
      </c>
      <c r="L348" s="0"/>
    </row>
    <row r="349" s="20" customFormat="true" ht="19.5" hidden="false" customHeight="true" outlineLevel="0" collapsed="false">
      <c r="A349" s="11" t="n">
        <v>348</v>
      </c>
      <c r="B349" s="26"/>
      <c r="C349" s="39" t="s">
        <v>621</v>
      </c>
      <c r="D349" s="11" t="s">
        <v>48</v>
      </c>
      <c r="E349" s="19" t="n">
        <v>50</v>
      </c>
      <c r="F349" s="19" t="s">
        <v>616</v>
      </c>
      <c r="G349" s="19" t="s">
        <v>113</v>
      </c>
      <c r="H349" s="19" t="n">
        <v>53000</v>
      </c>
      <c r="I349" s="14" t="n">
        <v>42400</v>
      </c>
      <c r="J349" s="14" t="n">
        <f aca="false">E349*I349</f>
        <v>2120000</v>
      </c>
      <c r="K349" s="15" t="n">
        <f aca="false">H349*80%</f>
        <v>42400</v>
      </c>
      <c r="L349" s="0"/>
    </row>
    <row r="350" s="20" customFormat="true" ht="19.5" hidden="false" customHeight="true" outlineLevel="0" collapsed="false">
      <c r="A350" s="11" t="n">
        <v>349</v>
      </c>
      <c r="B350" s="26"/>
      <c r="C350" s="39" t="s">
        <v>622</v>
      </c>
      <c r="D350" s="11" t="s">
        <v>48</v>
      </c>
      <c r="E350" s="19" t="n">
        <v>50</v>
      </c>
      <c r="F350" s="19" t="s">
        <v>616</v>
      </c>
      <c r="G350" s="19" t="s">
        <v>113</v>
      </c>
      <c r="H350" s="19" t="n">
        <v>38000</v>
      </c>
      <c r="I350" s="14" t="n">
        <v>30400</v>
      </c>
      <c r="J350" s="14" t="n">
        <f aca="false">E350*I350</f>
        <v>1520000</v>
      </c>
      <c r="K350" s="15" t="n">
        <f aca="false">H350*80%</f>
        <v>30400</v>
      </c>
      <c r="L350" s="0"/>
    </row>
    <row r="351" s="20" customFormat="true" ht="19.5" hidden="false" customHeight="true" outlineLevel="0" collapsed="false">
      <c r="A351" s="11" t="n">
        <v>350</v>
      </c>
      <c r="B351" s="26"/>
      <c r="C351" s="39" t="s">
        <v>545</v>
      </c>
      <c r="D351" s="11" t="s">
        <v>48</v>
      </c>
      <c r="E351" s="19" t="n">
        <v>50</v>
      </c>
      <c r="F351" s="19" t="s">
        <v>616</v>
      </c>
      <c r="G351" s="19" t="s">
        <v>113</v>
      </c>
      <c r="H351" s="19" t="n">
        <v>44000</v>
      </c>
      <c r="I351" s="14" t="n">
        <v>35200</v>
      </c>
      <c r="J351" s="14" t="n">
        <f aca="false">E351*I351</f>
        <v>1760000</v>
      </c>
      <c r="K351" s="15" t="n">
        <f aca="false">H351*80%</f>
        <v>35200</v>
      </c>
      <c r="L351" s="0"/>
    </row>
    <row r="352" s="20" customFormat="true" ht="19.5" hidden="false" customHeight="true" outlineLevel="0" collapsed="false">
      <c r="A352" s="11" t="n">
        <v>351</v>
      </c>
      <c r="B352" s="26"/>
      <c r="C352" s="39" t="s">
        <v>623</v>
      </c>
      <c r="D352" s="11" t="s">
        <v>48</v>
      </c>
      <c r="E352" s="19" t="n">
        <v>50</v>
      </c>
      <c r="F352" s="19" t="s">
        <v>616</v>
      </c>
      <c r="G352" s="19" t="s">
        <v>113</v>
      </c>
      <c r="H352" s="19" t="n">
        <v>53000</v>
      </c>
      <c r="I352" s="14" t="n">
        <v>42400</v>
      </c>
      <c r="J352" s="14" t="n">
        <f aca="false">E352*I352</f>
        <v>2120000</v>
      </c>
      <c r="K352" s="15" t="n">
        <f aca="false">H352*80%</f>
        <v>42400</v>
      </c>
      <c r="L352" s="0"/>
    </row>
    <row r="353" s="20" customFormat="true" ht="19.5" hidden="false" customHeight="true" outlineLevel="0" collapsed="false">
      <c r="A353" s="11" t="n">
        <v>352</v>
      </c>
      <c r="B353" s="26"/>
      <c r="C353" s="39" t="s">
        <v>624</v>
      </c>
      <c r="D353" s="11" t="s">
        <v>48</v>
      </c>
      <c r="E353" s="19" t="n">
        <v>55</v>
      </c>
      <c r="F353" s="19" t="s">
        <v>616</v>
      </c>
      <c r="G353" s="19" t="s">
        <v>113</v>
      </c>
      <c r="H353" s="19" t="n">
        <v>81000</v>
      </c>
      <c r="I353" s="14" t="n">
        <v>64800</v>
      </c>
      <c r="J353" s="14" t="n">
        <f aca="false">E353*I353</f>
        <v>3564000</v>
      </c>
      <c r="K353" s="15" t="n">
        <f aca="false">H353*80%</f>
        <v>64800</v>
      </c>
      <c r="L353" s="0"/>
    </row>
    <row r="354" s="20" customFormat="true" ht="19.5" hidden="false" customHeight="true" outlineLevel="0" collapsed="false">
      <c r="A354" s="11" t="n">
        <v>353</v>
      </c>
      <c r="B354" s="26"/>
      <c r="C354" s="39" t="s">
        <v>625</v>
      </c>
      <c r="D354" s="11" t="s">
        <v>48</v>
      </c>
      <c r="E354" s="19" t="n">
        <v>50</v>
      </c>
      <c r="F354" s="19" t="s">
        <v>616</v>
      </c>
      <c r="G354" s="19" t="s">
        <v>113</v>
      </c>
      <c r="H354" s="19" t="n">
        <v>53000</v>
      </c>
      <c r="I354" s="14" t="n">
        <v>42400</v>
      </c>
      <c r="J354" s="14" t="n">
        <f aca="false">E354*I354</f>
        <v>2120000</v>
      </c>
      <c r="K354" s="15" t="n">
        <f aca="false">H354*80%</f>
        <v>42400</v>
      </c>
      <c r="L354" s="0"/>
    </row>
    <row r="355" s="20" customFormat="true" ht="19.5" hidden="false" customHeight="true" outlineLevel="0" collapsed="false">
      <c r="A355" s="11" t="n">
        <v>354</v>
      </c>
      <c r="B355" s="26"/>
      <c r="C355" s="39" t="s">
        <v>546</v>
      </c>
      <c r="D355" s="11" t="s">
        <v>48</v>
      </c>
      <c r="E355" s="19" t="n">
        <v>62</v>
      </c>
      <c r="F355" s="19" t="s">
        <v>616</v>
      </c>
      <c r="G355" s="19" t="s">
        <v>113</v>
      </c>
      <c r="H355" s="19" t="n">
        <v>58000</v>
      </c>
      <c r="I355" s="14" t="n">
        <v>46400</v>
      </c>
      <c r="J355" s="14" t="n">
        <f aca="false">E355*I355</f>
        <v>2876800</v>
      </c>
      <c r="K355" s="15" t="n">
        <f aca="false">H355*80%</f>
        <v>46400</v>
      </c>
      <c r="L355" s="0"/>
    </row>
    <row r="356" s="20" customFormat="true" ht="19.5" hidden="false" customHeight="true" outlineLevel="0" collapsed="false">
      <c r="A356" s="11" t="n">
        <v>355</v>
      </c>
      <c r="B356" s="26"/>
      <c r="C356" s="39" t="s">
        <v>625</v>
      </c>
      <c r="D356" s="11" t="s">
        <v>48</v>
      </c>
      <c r="E356" s="19" t="n">
        <v>100</v>
      </c>
      <c r="F356" s="19" t="s">
        <v>616</v>
      </c>
      <c r="G356" s="19" t="s">
        <v>113</v>
      </c>
      <c r="H356" s="19" t="n">
        <v>62000</v>
      </c>
      <c r="I356" s="14" t="n">
        <v>49600</v>
      </c>
      <c r="J356" s="14" t="n">
        <f aca="false">E356*I356</f>
        <v>4960000</v>
      </c>
      <c r="K356" s="15" t="n">
        <f aca="false">H356*80%</f>
        <v>49600</v>
      </c>
      <c r="L356" s="0"/>
    </row>
    <row r="357" s="20" customFormat="true" ht="19.5" hidden="false" customHeight="true" outlineLevel="0" collapsed="false">
      <c r="A357" s="11" t="n">
        <v>356</v>
      </c>
      <c r="B357" s="26"/>
      <c r="C357" s="39" t="s">
        <v>547</v>
      </c>
      <c r="D357" s="11" t="s">
        <v>48</v>
      </c>
      <c r="E357" s="19" t="n">
        <v>60</v>
      </c>
      <c r="F357" s="19" t="s">
        <v>616</v>
      </c>
      <c r="G357" s="19" t="s">
        <v>113</v>
      </c>
      <c r="H357" s="19" t="n">
        <v>83000</v>
      </c>
      <c r="I357" s="14" t="n">
        <v>66400</v>
      </c>
      <c r="J357" s="14" t="n">
        <f aca="false">E357*I357</f>
        <v>3984000</v>
      </c>
      <c r="K357" s="15" t="n">
        <f aca="false">H357*80%</f>
        <v>66400</v>
      </c>
      <c r="L357" s="0"/>
    </row>
    <row r="358" s="20" customFormat="true" ht="19.5" hidden="false" customHeight="true" outlineLevel="0" collapsed="false">
      <c r="A358" s="11" t="n">
        <v>357</v>
      </c>
      <c r="B358" s="26"/>
      <c r="C358" s="39" t="s">
        <v>626</v>
      </c>
      <c r="D358" s="11" t="s">
        <v>48</v>
      </c>
      <c r="E358" s="19" t="n">
        <v>50</v>
      </c>
      <c r="F358" s="19" t="s">
        <v>616</v>
      </c>
      <c r="G358" s="19" t="s">
        <v>113</v>
      </c>
      <c r="H358" s="19" t="n">
        <v>96000</v>
      </c>
      <c r="I358" s="14" t="n">
        <v>76800</v>
      </c>
      <c r="J358" s="14" t="n">
        <f aca="false">E358*I358</f>
        <v>3840000</v>
      </c>
      <c r="K358" s="15" t="n">
        <f aca="false">H358*80%</f>
        <v>76800</v>
      </c>
      <c r="L358" s="0"/>
    </row>
    <row r="359" s="20" customFormat="true" ht="19.5" hidden="false" customHeight="true" outlineLevel="0" collapsed="false">
      <c r="A359" s="11" t="n">
        <v>358</v>
      </c>
      <c r="B359" s="26"/>
      <c r="C359" s="39" t="s">
        <v>627</v>
      </c>
      <c r="D359" s="11" t="s">
        <v>48</v>
      </c>
      <c r="E359" s="19" t="n">
        <v>50</v>
      </c>
      <c r="F359" s="19" t="s">
        <v>616</v>
      </c>
      <c r="G359" s="19" t="s">
        <v>113</v>
      </c>
      <c r="H359" s="19" t="n">
        <v>88000</v>
      </c>
      <c r="I359" s="14" t="n">
        <v>70400</v>
      </c>
      <c r="J359" s="14" t="n">
        <f aca="false">E359*I359</f>
        <v>3520000</v>
      </c>
      <c r="K359" s="15" t="n">
        <f aca="false">H359*80%</f>
        <v>70400</v>
      </c>
      <c r="L359" s="0"/>
    </row>
    <row r="360" s="20" customFormat="true" ht="19.5" hidden="false" customHeight="true" outlineLevel="0" collapsed="false">
      <c r="A360" s="11" t="n">
        <v>359</v>
      </c>
      <c r="B360" s="26"/>
      <c r="C360" s="39" t="s">
        <v>628</v>
      </c>
      <c r="D360" s="11" t="s">
        <v>48</v>
      </c>
      <c r="E360" s="19" t="n">
        <v>70</v>
      </c>
      <c r="F360" s="19" t="s">
        <v>616</v>
      </c>
      <c r="G360" s="19" t="s">
        <v>113</v>
      </c>
      <c r="H360" s="19" t="n">
        <v>99000</v>
      </c>
      <c r="I360" s="14" t="n">
        <v>79200</v>
      </c>
      <c r="J360" s="14" t="n">
        <f aca="false">E360*I360</f>
        <v>5544000</v>
      </c>
      <c r="K360" s="15" t="n">
        <f aca="false">H360*80%</f>
        <v>79200</v>
      </c>
      <c r="L360" s="0"/>
    </row>
    <row r="361" s="20" customFormat="true" ht="19.5" hidden="false" customHeight="true" outlineLevel="0" collapsed="false">
      <c r="A361" s="11" t="n">
        <v>360</v>
      </c>
      <c r="B361" s="26"/>
      <c r="C361" s="39" t="s">
        <v>629</v>
      </c>
      <c r="D361" s="11" t="s">
        <v>48</v>
      </c>
      <c r="E361" s="19" t="n">
        <v>50</v>
      </c>
      <c r="F361" s="19" t="s">
        <v>616</v>
      </c>
      <c r="G361" s="19" t="s">
        <v>113</v>
      </c>
      <c r="H361" s="19" t="n">
        <v>93000</v>
      </c>
      <c r="I361" s="14" t="n">
        <v>74400</v>
      </c>
      <c r="J361" s="14" t="n">
        <f aca="false">E361*I361</f>
        <v>3720000</v>
      </c>
      <c r="K361" s="15" t="n">
        <f aca="false">H361*80%</f>
        <v>74400</v>
      </c>
      <c r="L361" s="0"/>
    </row>
    <row r="362" s="20" customFormat="true" ht="19.5" hidden="false" customHeight="true" outlineLevel="0" collapsed="false">
      <c r="A362" s="11" t="n">
        <v>361</v>
      </c>
      <c r="B362" s="26"/>
      <c r="C362" s="39" t="s">
        <v>630</v>
      </c>
      <c r="D362" s="11" t="s">
        <v>48</v>
      </c>
      <c r="E362" s="19" t="n">
        <v>50</v>
      </c>
      <c r="F362" s="19" t="s">
        <v>616</v>
      </c>
      <c r="G362" s="19" t="s">
        <v>113</v>
      </c>
      <c r="H362" s="19" t="n">
        <v>128000</v>
      </c>
      <c r="I362" s="14" t="n">
        <v>102400</v>
      </c>
      <c r="J362" s="14" t="n">
        <f aca="false">E362*I362</f>
        <v>5120000</v>
      </c>
      <c r="K362" s="15" t="n">
        <f aca="false">H362*80%</f>
        <v>102400</v>
      </c>
      <c r="L362" s="0"/>
    </row>
    <row r="363" s="20" customFormat="true" ht="19.5" hidden="false" customHeight="true" outlineLevel="0" collapsed="false">
      <c r="A363" s="11" t="n">
        <v>362</v>
      </c>
      <c r="B363" s="26"/>
      <c r="C363" s="39" t="s">
        <v>548</v>
      </c>
      <c r="D363" s="11" t="s">
        <v>48</v>
      </c>
      <c r="E363" s="19" t="n">
        <v>60</v>
      </c>
      <c r="F363" s="19" t="s">
        <v>616</v>
      </c>
      <c r="G363" s="19" t="s">
        <v>113</v>
      </c>
      <c r="H363" s="19" t="n">
        <v>133000</v>
      </c>
      <c r="I363" s="14" t="n">
        <v>106400</v>
      </c>
      <c r="J363" s="14" t="n">
        <f aca="false">E363*I363</f>
        <v>6384000</v>
      </c>
      <c r="K363" s="15" t="n">
        <f aca="false">H363*80%</f>
        <v>106400</v>
      </c>
      <c r="L363" s="0"/>
    </row>
    <row r="364" s="20" customFormat="true" ht="19.5" hidden="false" customHeight="true" outlineLevel="0" collapsed="false">
      <c r="A364" s="11" t="n">
        <v>363</v>
      </c>
      <c r="B364" s="26"/>
      <c r="C364" s="39" t="s">
        <v>631</v>
      </c>
      <c r="D364" s="11" t="s">
        <v>48</v>
      </c>
      <c r="E364" s="19" t="n">
        <v>50</v>
      </c>
      <c r="F364" s="19" t="s">
        <v>616</v>
      </c>
      <c r="G364" s="19" t="s">
        <v>113</v>
      </c>
      <c r="H364" s="19" t="n">
        <v>135000</v>
      </c>
      <c r="I364" s="14" t="n">
        <v>108000</v>
      </c>
      <c r="J364" s="14" t="n">
        <f aca="false">E364*I364</f>
        <v>5400000</v>
      </c>
      <c r="K364" s="15" t="n">
        <f aca="false">H364*80%</f>
        <v>108000</v>
      </c>
      <c r="L364" s="0"/>
    </row>
    <row r="365" s="20" customFormat="true" ht="19.5" hidden="false" customHeight="true" outlineLevel="0" collapsed="false">
      <c r="A365" s="11" t="n">
        <v>364</v>
      </c>
      <c r="B365" s="26"/>
      <c r="C365" s="39" t="s">
        <v>632</v>
      </c>
      <c r="D365" s="11" t="s">
        <v>48</v>
      </c>
      <c r="E365" s="19" t="n">
        <v>50</v>
      </c>
      <c r="F365" s="19" t="s">
        <v>616</v>
      </c>
      <c r="G365" s="19" t="s">
        <v>113</v>
      </c>
      <c r="H365" s="19" t="n">
        <v>160000</v>
      </c>
      <c r="I365" s="14" t="n">
        <v>128000</v>
      </c>
      <c r="J365" s="14" t="n">
        <f aca="false">E365*I365</f>
        <v>6400000</v>
      </c>
      <c r="K365" s="15" t="n">
        <f aca="false">H365*80%</f>
        <v>128000</v>
      </c>
      <c r="L365" s="0"/>
    </row>
    <row r="366" s="20" customFormat="true" ht="19.5" hidden="false" customHeight="true" outlineLevel="0" collapsed="false">
      <c r="A366" s="11" t="n">
        <v>365</v>
      </c>
      <c r="B366" s="26"/>
      <c r="C366" s="39" t="s">
        <v>633</v>
      </c>
      <c r="D366" s="11" t="s">
        <v>48</v>
      </c>
      <c r="E366" s="19" t="n">
        <v>47</v>
      </c>
      <c r="F366" s="19" t="s">
        <v>616</v>
      </c>
      <c r="G366" s="19" t="s">
        <v>113</v>
      </c>
      <c r="H366" s="19" t="n">
        <v>190000</v>
      </c>
      <c r="I366" s="14" t="n">
        <v>152000</v>
      </c>
      <c r="J366" s="14" t="n">
        <f aca="false">E366*I366</f>
        <v>7144000</v>
      </c>
      <c r="K366" s="15" t="n">
        <f aca="false">H366*80%</f>
        <v>152000</v>
      </c>
      <c r="L366" s="0"/>
    </row>
    <row r="367" s="20" customFormat="true" ht="19.5" hidden="false" customHeight="true" outlineLevel="0" collapsed="false">
      <c r="A367" s="11" t="n">
        <v>366</v>
      </c>
      <c r="B367" s="26"/>
      <c r="C367" s="39" t="s">
        <v>549</v>
      </c>
      <c r="D367" s="11" t="s">
        <v>48</v>
      </c>
      <c r="E367" s="19" t="n">
        <v>76</v>
      </c>
      <c r="F367" s="19" t="s">
        <v>616</v>
      </c>
      <c r="G367" s="19" t="s">
        <v>113</v>
      </c>
      <c r="H367" s="19" t="n">
        <v>190000</v>
      </c>
      <c r="I367" s="14" t="n">
        <v>152000</v>
      </c>
      <c r="J367" s="14" t="n">
        <f aca="false">E367*I367</f>
        <v>11552000</v>
      </c>
      <c r="K367" s="15" t="n">
        <f aca="false">H367*80%</f>
        <v>152000</v>
      </c>
      <c r="L367" s="0"/>
    </row>
    <row r="368" s="20" customFormat="true" ht="19.5" hidden="false" customHeight="true" outlineLevel="0" collapsed="false">
      <c r="A368" s="11" t="n">
        <v>367</v>
      </c>
      <c r="B368" s="26"/>
      <c r="C368" s="39" t="s">
        <v>634</v>
      </c>
      <c r="D368" s="11" t="s">
        <v>48</v>
      </c>
      <c r="E368" s="19" t="n">
        <v>50</v>
      </c>
      <c r="F368" s="19" t="s">
        <v>616</v>
      </c>
      <c r="G368" s="19" t="s">
        <v>113</v>
      </c>
      <c r="H368" s="19" t="n">
        <v>230000</v>
      </c>
      <c r="I368" s="14" t="n">
        <v>184000</v>
      </c>
      <c r="J368" s="14" t="n">
        <f aca="false">E368*I368</f>
        <v>9200000</v>
      </c>
      <c r="K368" s="15" t="n">
        <f aca="false">H368*80%</f>
        <v>184000</v>
      </c>
      <c r="L368" s="0"/>
    </row>
    <row r="369" s="20" customFormat="true" ht="19.5" hidden="false" customHeight="true" outlineLevel="0" collapsed="false">
      <c r="A369" s="11" t="n">
        <v>368</v>
      </c>
      <c r="B369" s="26"/>
      <c r="C369" s="39" t="s">
        <v>635</v>
      </c>
      <c r="D369" s="11" t="s">
        <v>48</v>
      </c>
      <c r="E369" s="19" t="n">
        <v>45</v>
      </c>
      <c r="F369" s="19" t="s">
        <v>616</v>
      </c>
      <c r="G369" s="19" t="s">
        <v>113</v>
      </c>
      <c r="H369" s="19" t="n">
        <v>235000</v>
      </c>
      <c r="I369" s="14" t="n">
        <v>188000</v>
      </c>
      <c r="J369" s="14" t="n">
        <f aca="false">E369*I369</f>
        <v>8460000</v>
      </c>
      <c r="K369" s="15" t="n">
        <f aca="false">H369*80%</f>
        <v>188000</v>
      </c>
      <c r="L369" s="0"/>
    </row>
    <row r="370" s="20" customFormat="true" ht="19.5" hidden="false" customHeight="true" outlineLevel="0" collapsed="false">
      <c r="A370" s="11" t="n">
        <v>369</v>
      </c>
      <c r="B370" s="26"/>
      <c r="C370" s="39" t="s">
        <v>636</v>
      </c>
      <c r="D370" s="11" t="s">
        <v>48</v>
      </c>
      <c r="E370" s="19" t="n">
        <v>30</v>
      </c>
      <c r="F370" s="19" t="s">
        <v>616</v>
      </c>
      <c r="G370" s="19" t="s">
        <v>113</v>
      </c>
      <c r="H370" s="19" t="n">
        <v>289000</v>
      </c>
      <c r="I370" s="14" t="n">
        <v>231200</v>
      </c>
      <c r="J370" s="14" t="n">
        <f aca="false">E370*I370</f>
        <v>6936000</v>
      </c>
      <c r="K370" s="15" t="n">
        <f aca="false">H370*80%</f>
        <v>231200</v>
      </c>
      <c r="L370" s="0"/>
    </row>
    <row r="371" s="20" customFormat="true" ht="19.5" hidden="false" customHeight="true" outlineLevel="0" collapsed="false">
      <c r="A371" s="11" t="n">
        <v>370</v>
      </c>
      <c r="B371" s="26"/>
      <c r="C371" s="39" t="s">
        <v>637</v>
      </c>
      <c r="D371" s="11" t="s">
        <v>48</v>
      </c>
      <c r="E371" s="19" t="n">
        <v>30</v>
      </c>
      <c r="F371" s="19" t="s">
        <v>616</v>
      </c>
      <c r="G371" s="19" t="s">
        <v>113</v>
      </c>
      <c r="H371" s="19" t="n">
        <v>270000</v>
      </c>
      <c r="I371" s="14" t="n">
        <v>216000</v>
      </c>
      <c r="J371" s="14" t="n">
        <f aca="false">E371*I371</f>
        <v>6480000</v>
      </c>
      <c r="K371" s="15" t="n">
        <f aca="false">H371*80%</f>
        <v>216000</v>
      </c>
      <c r="L371" s="0"/>
    </row>
    <row r="372" s="20" customFormat="true" ht="19.5" hidden="false" customHeight="true" outlineLevel="0" collapsed="false">
      <c r="A372" s="11" t="n">
        <v>371</v>
      </c>
      <c r="B372" s="26"/>
      <c r="C372" s="39" t="s">
        <v>550</v>
      </c>
      <c r="D372" s="11" t="s">
        <v>48</v>
      </c>
      <c r="E372" s="19" t="n">
        <v>35</v>
      </c>
      <c r="F372" s="19" t="s">
        <v>616</v>
      </c>
      <c r="G372" s="19" t="s">
        <v>113</v>
      </c>
      <c r="H372" s="19" t="n">
        <v>285000</v>
      </c>
      <c r="I372" s="14" t="n">
        <v>228000</v>
      </c>
      <c r="J372" s="14" t="n">
        <f aca="false">E372*I372</f>
        <v>7980000</v>
      </c>
      <c r="K372" s="15" t="n">
        <f aca="false">H372*80%</f>
        <v>228000</v>
      </c>
      <c r="L372" s="0"/>
    </row>
    <row r="373" s="20" customFormat="true" ht="19.5" hidden="false" customHeight="true" outlineLevel="0" collapsed="false">
      <c r="A373" s="11" t="n">
        <v>372</v>
      </c>
      <c r="B373" s="26"/>
      <c r="C373" s="39" t="s">
        <v>638</v>
      </c>
      <c r="D373" s="11" t="s">
        <v>48</v>
      </c>
      <c r="E373" s="19" t="n">
        <v>28</v>
      </c>
      <c r="F373" s="19" t="s">
        <v>616</v>
      </c>
      <c r="G373" s="19" t="s">
        <v>113</v>
      </c>
      <c r="H373" s="19" t="n">
        <v>335000</v>
      </c>
      <c r="I373" s="14" t="n">
        <v>268000</v>
      </c>
      <c r="J373" s="14" t="n">
        <f aca="false">E373*I373</f>
        <v>7504000</v>
      </c>
      <c r="K373" s="15" t="n">
        <f aca="false">H373*80%</f>
        <v>268000</v>
      </c>
      <c r="L373" s="0"/>
    </row>
    <row r="374" s="20" customFormat="true" ht="19.5" hidden="false" customHeight="true" outlineLevel="0" collapsed="false">
      <c r="A374" s="11" t="n">
        <v>373</v>
      </c>
      <c r="B374" s="26"/>
      <c r="C374" s="39" t="s">
        <v>551</v>
      </c>
      <c r="D374" s="11" t="s">
        <v>48</v>
      </c>
      <c r="E374" s="19" t="n">
        <v>28</v>
      </c>
      <c r="F374" s="19" t="s">
        <v>616</v>
      </c>
      <c r="G374" s="19" t="s">
        <v>113</v>
      </c>
      <c r="H374" s="19" t="n">
        <v>645000</v>
      </c>
      <c r="I374" s="14" t="n">
        <v>516000</v>
      </c>
      <c r="J374" s="14" t="n">
        <f aca="false">E374*I374</f>
        <v>14448000</v>
      </c>
      <c r="K374" s="15" t="n">
        <f aca="false">H374*80%</f>
        <v>516000</v>
      </c>
      <c r="L374" s="0"/>
    </row>
    <row r="375" s="20" customFormat="true" ht="19.5" hidden="false" customHeight="true" outlineLevel="0" collapsed="false">
      <c r="A375" s="11" t="n">
        <v>374</v>
      </c>
      <c r="B375" s="26"/>
      <c r="C375" s="39" t="s">
        <v>639</v>
      </c>
      <c r="D375" s="11" t="s">
        <v>48</v>
      </c>
      <c r="E375" s="19" t="n">
        <v>20</v>
      </c>
      <c r="F375" s="19" t="s">
        <v>616</v>
      </c>
      <c r="G375" s="19" t="s">
        <v>113</v>
      </c>
      <c r="H375" s="19" t="n">
        <v>660000</v>
      </c>
      <c r="I375" s="14" t="n">
        <v>528000</v>
      </c>
      <c r="J375" s="14" t="n">
        <f aca="false">E375*I375</f>
        <v>10560000</v>
      </c>
      <c r="K375" s="15" t="n">
        <f aca="false">H375*80%</f>
        <v>528000</v>
      </c>
      <c r="L375" s="0"/>
    </row>
    <row r="376" s="20" customFormat="true" ht="19.5" hidden="false" customHeight="true" outlineLevel="0" collapsed="false">
      <c r="A376" s="11" t="n">
        <v>375</v>
      </c>
      <c r="B376" s="26"/>
      <c r="C376" s="39" t="s">
        <v>552</v>
      </c>
      <c r="D376" s="11" t="s">
        <v>48</v>
      </c>
      <c r="E376" s="19" t="n">
        <v>18</v>
      </c>
      <c r="F376" s="19" t="s">
        <v>616</v>
      </c>
      <c r="G376" s="19" t="s">
        <v>113</v>
      </c>
      <c r="H376" s="19" t="n">
        <v>863000</v>
      </c>
      <c r="I376" s="14" t="n">
        <v>690400</v>
      </c>
      <c r="J376" s="14" t="n">
        <f aca="false">E376*I376</f>
        <v>12427200</v>
      </c>
      <c r="K376" s="15" t="n">
        <f aca="false">H376*80%</f>
        <v>690400</v>
      </c>
      <c r="L376" s="0"/>
    </row>
    <row r="377" s="20" customFormat="true" ht="19.5" hidden="false" customHeight="true" outlineLevel="0" collapsed="false">
      <c r="A377" s="11" t="n">
        <v>376</v>
      </c>
      <c r="B377" s="26"/>
      <c r="C377" s="39" t="s">
        <v>553</v>
      </c>
      <c r="D377" s="11" t="s">
        <v>48</v>
      </c>
      <c r="E377" s="19" t="n">
        <v>5</v>
      </c>
      <c r="F377" s="19" t="s">
        <v>616</v>
      </c>
      <c r="G377" s="19" t="s">
        <v>113</v>
      </c>
      <c r="H377" s="19" t="n">
        <v>1650000</v>
      </c>
      <c r="I377" s="14" t="n">
        <v>1320000</v>
      </c>
      <c r="J377" s="14" t="n">
        <f aca="false">E377*I377</f>
        <v>6600000</v>
      </c>
      <c r="K377" s="15" t="n">
        <f aca="false">H377*80%</f>
        <v>1320000</v>
      </c>
      <c r="L377" s="0"/>
    </row>
    <row r="378" s="20" customFormat="true" ht="19.5" hidden="false" customHeight="true" outlineLevel="0" collapsed="false">
      <c r="A378" s="11" t="n">
        <v>377</v>
      </c>
      <c r="B378" s="26"/>
      <c r="C378" s="39" t="s">
        <v>554</v>
      </c>
      <c r="D378" s="11" t="s">
        <v>48</v>
      </c>
      <c r="E378" s="19" t="n">
        <v>5</v>
      </c>
      <c r="F378" s="19" t="s">
        <v>616</v>
      </c>
      <c r="G378" s="19" t="s">
        <v>113</v>
      </c>
      <c r="H378" s="19" t="n">
        <v>2050000</v>
      </c>
      <c r="I378" s="14" t="n">
        <v>1640000</v>
      </c>
      <c r="J378" s="14" t="n">
        <f aca="false">E378*I378</f>
        <v>8200000</v>
      </c>
      <c r="K378" s="15" t="n">
        <f aca="false">H378*80%</f>
        <v>1640000</v>
      </c>
      <c r="L378" s="0"/>
    </row>
    <row r="379" s="20" customFormat="true" ht="19.5" hidden="false" customHeight="true" outlineLevel="0" collapsed="false">
      <c r="A379" s="11" t="n">
        <v>378</v>
      </c>
      <c r="B379" s="26"/>
      <c r="C379" s="39" t="s">
        <v>640</v>
      </c>
      <c r="D379" s="11" t="s">
        <v>48</v>
      </c>
      <c r="E379" s="19" t="n">
        <v>5</v>
      </c>
      <c r="F379" s="19" t="s">
        <v>616</v>
      </c>
      <c r="G379" s="19" t="s">
        <v>113</v>
      </c>
      <c r="H379" s="19" t="n">
        <v>2950000</v>
      </c>
      <c r="I379" s="14" t="n">
        <v>2360000</v>
      </c>
      <c r="J379" s="14" t="n">
        <f aca="false">E379*I379</f>
        <v>11800000</v>
      </c>
      <c r="K379" s="15" t="n">
        <f aca="false">H379*80%</f>
        <v>2360000</v>
      </c>
      <c r="L379" s="0"/>
    </row>
    <row r="380" s="20" customFormat="true" ht="15.75" hidden="false" customHeight="false" outlineLevel="0" collapsed="false">
      <c r="A380" s="11" t="n">
        <v>379</v>
      </c>
      <c r="B380" s="26" t="s">
        <v>641</v>
      </c>
      <c r="C380" s="12"/>
      <c r="D380" s="11" t="s">
        <v>48</v>
      </c>
      <c r="E380" s="19" t="n">
        <v>2</v>
      </c>
      <c r="F380" s="19" t="s">
        <v>642</v>
      </c>
      <c r="G380" s="19" t="s">
        <v>58</v>
      </c>
      <c r="H380" s="19" t="n">
        <v>235000</v>
      </c>
      <c r="I380" s="14" t="n">
        <v>188000</v>
      </c>
      <c r="J380" s="14" t="n">
        <f aca="false">E380*I380</f>
        <v>376000</v>
      </c>
      <c r="K380" s="15" t="n">
        <f aca="false">H380*80%</f>
        <v>188000</v>
      </c>
      <c r="L380" s="0"/>
    </row>
    <row r="381" s="20" customFormat="true" ht="18.75" hidden="false" customHeight="true" outlineLevel="0" collapsed="false">
      <c r="A381" s="11" t="n">
        <v>380</v>
      </c>
      <c r="B381" s="26"/>
      <c r="C381" s="12"/>
      <c r="D381" s="11" t="s">
        <v>48</v>
      </c>
      <c r="E381" s="19" t="n">
        <v>32</v>
      </c>
      <c r="F381" s="19" t="s">
        <v>642</v>
      </c>
      <c r="G381" s="19" t="s">
        <v>58</v>
      </c>
      <c r="H381" s="19" t="n">
        <v>190000</v>
      </c>
      <c r="I381" s="14" t="n">
        <v>152000</v>
      </c>
      <c r="J381" s="14" t="n">
        <f aca="false">E381*I381</f>
        <v>4864000</v>
      </c>
      <c r="K381" s="15" t="n">
        <f aca="false">H381*80%</f>
        <v>152000</v>
      </c>
      <c r="L381" s="0"/>
    </row>
    <row r="382" s="20" customFormat="true" ht="30" hidden="false" customHeight="true" outlineLevel="0" collapsed="false">
      <c r="A382" s="11" t="n">
        <v>381</v>
      </c>
      <c r="B382" s="26" t="s">
        <v>643</v>
      </c>
      <c r="C382" s="39" t="s">
        <v>644</v>
      </c>
      <c r="D382" s="11" t="s">
        <v>48</v>
      </c>
      <c r="E382" s="19" t="n">
        <v>10</v>
      </c>
      <c r="F382" s="19" t="s">
        <v>645</v>
      </c>
      <c r="G382" s="19" t="s">
        <v>113</v>
      </c>
      <c r="H382" s="19" t="n">
        <v>195000</v>
      </c>
      <c r="I382" s="14" t="n">
        <v>156000</v>
      </c>
      <c r="J382" s="14" t="n">
        <f aca="false">E382*I382</f>
        <v>1560000</v>
      </c>
      <c r="K382" s="15" t="n">
        <f aca="false">H382*80%</f>
        <v>156000</v>
      </c>
      <c r="L382" s="0"/>
    </row>
    <row r="383" s="20" customFormat="true" ht="15.75" hidden="false" customHeight="false" outlineLevel="0" collapsed="false">
      <c r="A383" s="11" t="n">
        <v>382</v>
      </c>
      <c r="B383" s="26" t="s">
        <v>646</v>
      </c>
      <c r="C383" s="39"/>
      <c r="D383" s="11" t="s">
        <v>48</v>
      </c>
      <c r="E383" s="19" t="n">
        <v>25</v>
      </c>
      <c r="F383" s="19" t="s">
        <v>647</v>
      </c>
      <c r="G383" s="19" t="s">
        <v>14</v>
      </c>
      <c r="H383" s="19" t="n">
        <v>189000</v>
      </c>
      <c r="I383" s="14" t="n">
        <v>151200</v>
      </c>
      <c r="J383" s="14" t="n">
        <f aca="false">E383*I383</f>
        <v>3780000</v>
      </c>
      <c r="K383" s="15" t="n">
        <f aca="false">H383*80%</f>
        <v>151200</v>
      </c>
      <c r="L383" s="0"/>
    </row>
    <row r="384" s="20" customFormat="true" ht="90.25" hidden="false" customHeight="false" outlineLevel="0" collapsed="false">
      <c r="A384" s="11" t="n">
        <v>383</v>
      </c>
      <c r="B384" s="26" t="s">
        <v>648</v>
      </c>
      <c r="C384" s="18" t="s">
        <v>649</v>
      </c>
      <c r="D384" s="22" t="s">
        <v>311</v>
      </c>
      <c r="E384" s="19" t="n">
        <v>20</v>
      </c>
      <c r="F384" s="19" t="s">
        <v>39</v>
      </c>
      <c r="G384" s="19" t="s">
        <v>14</v>
      </c>
      <c r="H384" s="19" t="n">
        <v>125000</v>
      </c>
      <c r="I384" s="14" t="n">
        <v>100000</v>
      </c>
      <c r="J384" s="14" t="n">
        <f aca="false">E384*I384</f>
        <v>2000000</v>
      </c>
      <c r="K384" s="15" t="n">
        <f aca="false">H384*80%</f>
        <v>100000</v>
      </c>
      <c r="L384" s="0"/>
    </row>
    <row r="385" s="20" customFormat="true" ht="90.25" hidden="false" customHeight="false" outlineLevel="0" collapsed="false">
      <c r="A385" s="11" t="n">
        <v>384</v>
      </c>
      <c r="B385" s="26" t="s">
        <v>650</v>
      </c>
      <c r="C385" s="18" t="s">
        <v>649</v>
      </c>
      <c r="D385" s="22" t="s">
        <v>311</v>
      </c>
      <c r="E385" s="19" t="n">
        <v>10</v>
      </c>
      <c r="F385" s="19" t="s">
        <v>39</v>
      </c>
      <c r="G385" s="19" t="s">
        <v>14</v>
      </c>
      <c r="H385" s="19" t="n">
        <v>150000</v>
      </c>
      <c r="I385" s="14" t="n">
        <v>120000</v>
      </c>
      <c r="J385" s="14" t="n">
        <f aca="false">E385*I385</f>
        <v>1200000</v>
      </c>
      <c r="K385" s="15" t="n">
        <f aca="false">H385*80%</f>
        <v>120000</v>
      </c>
      <c r="L385" s="0"/>
    </row>
    <row r="386" s="20" customFormat="true" ht="15.75" hidden="false" customHeight="false" outlineLevel="0" collapsed="false">
      <c r="A386" s="11" t="n">
        <v>385</v>
      </c>
      <c r="B386" s="26" t="s">
        <v>651</v>
      </c>
      <c r="C386" s="18"/>
      <c r="D386" s="22" t="s">
        <v>652</v>
      </c>
      <c r="E386" s="19" t="n">
        <v>1</v>
      </c>
      <c r="F386" s="19"/>
      <c r="G386" s="19" t="s">
        <v>14</v>
      </c>
      <c r="H386" s="19" t="n">
        <v>50000</v>
      </c>
      <c r="I386" s="14" t="n">
        <v>4600000</v>
      </c>
      <c r="J386" s="14" t="n">
        <f aca="false">E386*I386</f>
        <v>4600000</v>
      </c>
      <c r="K386" s="15" t="n">
        <f aca="false">H386*80%</f>
        <v>40000</v>
      </c>
      <c r="L386" s="0"/>
    </row>
    <row r="387" s="20" customFormat="true" ht="19.5" hidden="false" customHeight="true" outlineLevel="0" collapsed="false">
      <c r="A387" s="11" t="n">
        <v>386</v>
      </c>
      <c r="B387" s="26" t="s">
        <v>653</v>
      </c>
      <c r="C387" s="12"/>
      <c r="D387" s="11" t="s">
        <v>48</v>
      </c>
      <c r="E387" s="19" t="n">
        <v>150</v>
      </c>
      <c r="F387" s="19"/>
      <c r="G387" s="19" t="s">
        <v>14</v>
      </c>
      <c r="H387" s="14" t="n">
        <v>140000</v>
      </c>
      <c r="I387" s="14" t="n">
        <v>100000</v>
      </c>
      <c r="J387" s="14" t="n">
        <f aca="false">E387*I387</f>
        <v>15000000</v>
      </c>
      <c r="K387" s="15" t="n">
        <f aca="false">H387*80%</f>
        <v>112000</v>
      </c>
      <c r="L387" s="0"/>
    </row>
    <row r="388" s="20" customFormat="true" ht="19.5" hidden="false" customHeight="true" outlineLevel="0" collapsed="false">
      <c r="A388" s="11" t="n">
        <v>387</v>
      </c>
      <c r="B388" s="26"/>
      <c r="C388" s="12"/>
      <c r="D388" s="11" t="s">
        <v>48</v>
      </c>
      <c r="E388" s="19" t="n">
        <v>100</v>
      </c>
      <c r="F388" s="19"/>
      <c r="G388" s="19" t="s">
        <v>14</v>
      </c>
      <c r="H388" s="14" t="n">
        <v>135000</v>
      </c>
      <c r="I388" s="14" t="n">
        <v>100000</v>
      </c>
      <c r="J388" s="14" t="n">
        <f aca="false">E388*I388</f>
        <v>10000000</v>
      </c>
      <c r="K388" s="15" t="n">
        <f aca="false">H388*80%</f>
        <v>108000</v>
      </c>
      <c r="L388" s="0"/>
    </row>
    <row r="389" s="20" customFormat="true" ht="19.5" hidden="false" customHeight="true" outlineLevel="0" collapsed="false">
      <c r="A389" s="11" t="n">
        <v>388</v>
      </c>
      <c r="B389" s="26"/>
      <c r="C389" s="12"/>
      <c r="D389" s="11" t="s">
        <v>48</v>
      </c>
      <c r="E389" s="19" t="n">
        <v>50</v>
      </c>
      <c r="F389" s="19"/>
      <c r="G389" s="19" t="s">
        <v>14</v>
      </c>
      <c r="H389" s="14" t="n">
        <v>700000</v>
      </c>
      <c r="I389" s="14" t="n">
        <v>505000</v>
      </c>
      <c r="J389" s="14" t="n">
        <f aca="false">E389*I389</f>
        <v>25250000</v>
      </c>
      <c r="K389" s="15" t="n">
        <f aca="false">H389*80%</f>
        <v>560000</v>
      </c>
      <c r="L389" s="0"/>
    </row>
    <row r="390" s="20" customFormat="true" ht="19.5" hidden="false" customHeight="true" outlineLevel="0" collapsed="false">
      <c r="A390" s="11" t="n">
        <v>389</v>
      </c>
      <c r="B390" s="26"/>
      <c r="C390" s="12"/>
      <c r="D390" s="11" t="s">
        <v>48</v>
      </c>
      <c r="E390" s="19" t="n">
        <v>50</v>
      </c>
      <c r="F390" s="19"/>
      <c r="G390" s="19" t="s">
        <v>14</v>
      </c>
      <c r="H390" s="14" t="n">
        <v>185000</v>
      </c>
      <c r="I390" s="14" t="n">
        <v>130000</v>
      </c>
      <c r="J390" s="14" t="n">
        <f aca="false">E390*I390</f>
        <v>6500000</v>
      </c>
      <c r="K390" s="15" t="n">
        <f aca="false">H390*80%</f>
        <v>148000</v>
      </c>
      <c r="L390" s="0"/>
    </row>
    <row r="391" s="20" customFormat="true" ht="19.5" hidden="false" customHeight="true" outlineLevel="0" collapsed="false">
      <c r="A391" s="11" t="n">
        <v>390</v>
      </c>
      <c r="B391" s="26"/>
      <c r="C391" s="45"/>
      <c r="D391" s="46" t="s">
        <v>48</v>
      </c>
      <c r="E391" s="47" t="n">
        <v>25</v>
      </c>
      <c r="F391" s="48"/>
      <c r="G391" s="48" t="s">
        <v>14</v>
      </c>
      <c r="H391" s="49" t="n">
        <v>830000</v>
      </c>
      <c r="I391" s="49" t="n">
        <v>62000</v>
      </c>
      <c r="J391" s="49" t="n">
        <f aca="false">E391*I391</f>
        <v>1550000</v>
      </c>
      <c r="K391" s="15" t="n">
        <f aca="false">H391*80%</f>
        <v>664000</v>
      </c>
      <c r="L391" s="0"/>
    </row>
    <row r="392" s="20" customFormat="true" ht="19.5" hidden="false" customHeight="true" outlineLevel="0" collapsed="false">
      <c r="A392" s="11" t="n">
        <v>391</v>
      </c>
      <c r="B392" s="26"/>
      <c r="C392" s="12"/>
      <c r="D392" s="11" t="s">
        <v>48</v>
      </c>
      <c r="E392" s="13" t="n">
        <v>200</v>
      </c>
      <c r="F392" s="19"/>
      <c r="G392" s="19" t="s">
        <v>14</v>
      </c>
      <c r="H392" s="14" t="n">
        <v>38000</v>
      </c>
      <c r="I392" s="14" t="n">
        <v>30400</v>
      </c>
      <c r="J392" s="14" t="n">
        <f aca="false">E392*I392</f>
        <v>6080000</v>
      </c>
      <c r="K392" s="15" t="n">
        <f aca="false">H392*80%</f>
        <v>30400</v>
      </c>
      <c r="L392" s="0"/>
    </row>
    <row r="393" s="20" customFormat="true" ht="19.5" hidden="false" customHeight="true" outlineLevel="0" collapsed="false">
      <c r="A393" s="11" t="n">
        <v>392</v>
      </c>
      <c r="B393" s="26"/>
      <c r="C393" s="12"/>
      <c r="D393" s="11" t="s">
        <v>48</v>
      </c>
      <c r="E393" s="19" t="n">
        <v>42</v>
      </c>
      <c r="F393" s="19"/>
      <c r="G393" s="19" t="s">
        <v>14</v>
      </c>
      <c r="H393" s="14" t="n">
        <v>235000</v>
      </c>
      <c r="I393" s="14" t="n">
        <v>188000</v>
      </c>
      <c r="J393" s="14" t="n">
        <f aca="false">E393*I393</f>
        <v>7896000</v>
      </c>
      <c r="K393" s="15" t="n">
        <f aca="false">H393*80%</f>
        <v>188000</v>
      </c>
      <c r="L393" s="0"/>
    </row>
    <row r="394" s="20" customFormat="true" ht="19.5" hidden="false" customHeight="true" outlineLevel="0" collapsed="false">
      <c r="A394" s="11" t="n">
        <v>393</v>
      </c>
      <c r="B394" s="26"/>
      <c r="C394" s="12"/>
      <c r="D394" s="11" t="s">
        <v>48</v>
      </c>
      <c r="E394" s="19" t="n">
        <v>200</v>
      </c>
      <c r="F394" s="19"/>
      <c r="G394" s="19" t="s">
        <v>14</v>
      </c>
      <c r="H394" s="14" t="n">
        <v>75000</v>
      </c>
      <c r="I394" s="14" t="n">
        <v>60000</v>
      </c>
      <c r="J394" s="14" t="n">
        <f aca="false">E394*I394</f>
        <v>12000000</v>
      </c>
      <c r="K394" s="15" t="n">
        <f aca="false">H394*80%</f>
        <v>60000</v>
      </c>
      <c r="L394" s="0"/>
    </row>
    <row r="395" s="20" customFormat="true" ht="19.5" hidden="false" customHeight="true" outlineLevel="0" collapsed="false">
      <c r="A395" s="11" t="n">
        <v>394</v>
      </c>
      <c r="B395" s="26"/>
      <c r="C395" s="12"/>
      <c r="D395" s="11" t="s">
        <v>48</v>
      </c>
      <c r="E395" s="19" t="n">
        <v>12</v>
      </c>
      <c r="F395" s="19"/>
      <c r="G395" s="19" t="s">
        <v>14</v>
      </c>
      <c r="H395" s="14" t="n">
        <v>180000</v>
      </c>
      <c r="I395" s="14" t="n">
        <v>144000</v>
      </c>
      <c r="J395" s="14" t="n">
        <f aca="false">E395*I395</f>
        <v>1728000</v>
      </c>
      <c r="K395" s="15" t="n">
        <f aca="false">H395*80%</f>
        <v>144000</v>
      </c>
      <c r="L395" s="0"/>
    </row>
    <row r="396" s="20" customFormat="true" ht="19.5" hidden="false" customHeight="true" outlineLevel="0" collapsed="false">
      <c r="A396" s="11" t="n">
        <v>395</v>
      </c>
      <c r="B396" s="26"/>
      <c r="C396" s="18"/>
      <c r="D396" s="11" t="s">
        <v>48</v>
      </c>
      <c r="E396" s="13" t="n">
        <v>4</v>
      </c>
      <c r="F396" s="19"/>
      <c r="G396" s="19" t="s">
        <v>14</v>
      </c>
      <c r="H396" s="14" t="n">
        <v>190000</v>
      </c>
      <c r="I396" s="14" t="n">
        <v>152000</v>
      </c>
      <c r="J396" s="14" t="n">
        <f aca="false">E396*I396</f>
        <v>608000</v>
      </c>
      <c r="K396" s="15" t="n">
        <f aca="false">H396*80%</f>
        <v>152000</v>
      </c>
      <c r="L396" s="0"/>
    </row>
    <row r="397" s="20" customFormat="true" ht="19.5" hidden="false" customHeight="true" outlineLevel="0" collapsed="false">
      <c r="A397" s="11" t="n">
        <v>396</v>
      </c>
      <c r="B397" s="26"/>
      <c r="C397" s="18"/>
      <c r="D397" s="11" t="s">
        <v>48</v>
      </c>
      <c r="E397" s="19" t="n">
        <v>20</v>
      </c>
      <c r="F397" s="19"/>
      <c r="G397" s="19" t="s">
        <v>14</v>
      </c>
      <c r="H397" s="14" t="n">
        <v>145000</v>
      </c>
      <c r="I397" s="14" t="n">
        <v>116000</v>
      </c>
      <c r="J397" s="14" t="n">
        <f aca="false">E397*I397</f>
        <v>2320000</v>
      </c>
      <c r="K397" s="15" t="n">
        <f aca="false">H397*80%</f>
        <v>116000</v>
      </c>
      <c r="L397" s="0"/>
    </row>
    <row r="398" s="20" customFormat="true" ht="19.5" hidden="false" customHeight="true" outlineLevel="0" collapsed="false">
      <c r="A398" s="11" t="n">
        <v>397</v>
      </c>
      <c r="B398" s="26" t="s">
        <v>654</v>
      </c>
      <c r="C398" s="12"/>
      <c r="D398" s="11" t="s">
        <v>48</v>
      </c>
      <c r="E398" s="19" t="n">
        <v>12</v>
      </c>
      <c r="F398" s="19"/>
      <c r="G398" s="19" t="s">
        <v>14</v>
      </c>
      <c r="H398" s="19" t="n">
        <v>253000</v>
      </c>
      <c r="I398" s="14" t="n">
        <v>202400</v>
      </c>
      <c r="J398" s="14" t="n">
        <f aca="false">E398*I398</f>
        <v>2428800</v>
      </c>
      <c r="K398" s="15" t="n">
        <f aca="false">H398*80%</f>
        <v>202400</v>
      </c>
      <c r="L398" s="0"/>
    </row>
    <row r="399" s="20" customFormat="true" ht="19.5" hidden="false" customHeight="true" outlineLevel="0" collapsed="false">
      <c r="A399" s="11" t="n">
        <v>398</v>
      </c>
      <c r="B399" s="26"/>
      <c r="C399" s="12"/>
      <c r="D399" s="11" t="s">
        <v>48</v>
      </c>
      <c r="E399" s="19" t="n">
        <v>20</v>
      </c>
      <c r="F399" s="19"/>
      <c r="G399" s="19" t="s">
        <v>14</v>
      </c>
      <c r="H399" s="19" t="n">
        <v>1100000</v>
      </c>
      <c r="I399" s="14" t="n">
        <v>880000</v>
      </c>
      <c r="J399" s="14" t="n">
        <f aca="false">E399*I399</f>
        <v>17600000</v>
      </c>
      <c r="K399" s="15" t="n">
        <f aca="false">H399*80%</f>
        <v>880000</v>
      </c>
      <c r="L399" s="0"/>
    </row>
    <row r="400" s="20" customFormat="true" ht="19.5" hidden="false" customHeight="true" outlineLevel="0" collapsed="false">
      <c r="A400" s="11" t="n">
        <v>399</v>
      </c>
      <c r="B400" s="26"/>
      <c r="C400" s="12"/>
      <c r="D400" s="11" t="s">
        <v>48</v>
      </c>
      <c r="E400" s="19" t="n">
        <v>20</v>
      </c>
      <c r="F400" s="19"/>
      <c r="G400" s="19" t="s">
        <v>14</v>
      </c>
      <c r="H400" s="19" t="n">
        <v>900000</v>
      </c>
      <c r="I400" s="14" t="n">
        <v>720000</v>
      </c>
      <c r="J400" s="14" t="n">
        <f aca="false">E400*I400</f>
        <v>14400000</v>
      </c>
      <c r="K400" s="15" t="n">
        <f aca="false">H400*80%</f>
        <v>720000</v>
      </c>
      <c r="L400" s="0"/>
    </row>
    <row r="401" s="20" customFormat="true" ht="19.5" hidden="false" customHeight="true" outlineLevel="0" collapsed="false">
      <c r="A401" s="11" t="n">
        <v>400</v>
      </c>
      <c r="B401" s="12" t="s">
        <v>655</v>
      </c>
      <c r="C401" s="12"/>
      <c r="D401" s="11" t="s">
        <v>227</v>
      </c>
      <c r="E401" s="19" t="n">
        <v>10</v>
      </c>
      <c r="F401" s="19"/>
      <c r="G401" s="19" t="s">
        <v>14</v>
      </c>
      <c r="H401" s="19" t="n">
        <v>40000</v>
      </c>
      <c r="I401" s="14" t="n">
        <v>32000</v>
      </c>
      <c r="J401" s="14" t="n">
        <f aca="false">E401*I401</f>
        <v>320000</v>
      </c>
      <c r="K401" s="15" t="n">
        <f aca="false">H401*80%</f>
        <v>32000</v>
      </c>
      <c r="L401" s="0"/>
    </row>
    <row r="402" s="20" customFormat="true" ht="19.5" hidden="false" customHeight="true" outlineLevel="0" collapsed="false">
      <c r="A402" s="11" t="n">
        <v>401</v>
      </c>
      <c r="B402" s="12"/>
      <c r="C402" s="12"/>
      <c r="D402" s="11" t="s">
        <v>227</v>
      </c>
      <c r="E402" s="13" t="n">
        <v>6</v>
      </c>
      <c r="F402" s="13"/>
      <c r="G402" s="19" t="s">
        <v>14</v>
      </c>
      <c r="H402" s="13" t="n">
        <v>30000</v>
      </c>
      <c r="I402" s="14" t="n">
        <v>24000</v>
      </c>
      <c r="J402" s="14" t="n">
        <f aca="false">E402*I402</f>
        <v>144000</v>
      </c>
      <c r="K402" s="15" t="n">
        <f aca="false">H402*80%</f>
        <v>24000</v>
      </c>
      <c r="L402" s="0"/>
    </row>
    <row r="403" s="20" customFormat="true" ht="19.5" hidden="false" customHeight="true" outlineLevel="0" collapsed="false">
      <c r="A403" s="11" t="n">
        <v>402</v>
      </c>
      <c r="B403" s="26" t="s">
        <v>656</v>
      </c>
      <c r="C403" s="12"/>
      <c r="D403" s="11" t="s">
        <v>12</v>
      </c>
      <c r="E403" s="13" t="n">
        <v>24</v>
      </c>
      <c r="F403" s="13"/>
      <c r="G403" s="19" t="s">
        <v>14</v>
      </c>
      <c r="H403" s="13" t="n">
        <v>22000</v>
      </c>
      <c r="I403" s="14" t="n">
        <v>17600</v>
      </c>
      <c r="J403" s="14" t="n">
        <f aca="false">E403*I403</f>
        <v>422400</v>
      </c>
      <c r="K403" s="15" t="n">
        <f aca="false">H403*80%</f>
        <v>17600</v>
      </c>
      <c r="L403" s="0"/>
    </row>
    <row r="404" s="20" customFormat="true" ht="19.5" hidden="false" customHeight="true" outlineLevel="0" collapsed="false">
      <c r="A404" s="11" t="n">
        <v>403</v>
      </c>
      <c r="B404" s="26"/>
      <c r="C404" s="12"/>
      <c r="D404" s="11" t="s">
        <v>12</v>
      </c>
      <c r="E404" s="13" t="n">
        <v>18</v>
      </c>
      <c r="F404" s="13"/>
      <c r="G404" s="19" t="s">
        <v>14</v>
      </c>
      <c r="H404" s="13" t="n">
        <v>34200</v>
      </c>
      <c r="I404" s="14" t="n">
        <v>27360</v>
      </c>
      <c r="J404" s="14" t="n">
        <f aca="false">E404*I404</f>
        <v>492480</v>
      </c>
      <c r="K404" s="15" t="n">
        <f aca="false">H404*80%</f>
        <v>27360</v>
      </c>
      <c r="L404" s="0"/>
    </row>
    <row r="405" s="20" customFormat="true" ht="19.5" hidden="false" customHeight="true" outlineLevel="0" collapsed="false">
      <c r="A405" s="11" t="n">
        <v>404</v>
      </c>
      <c r="B405" s="26"/>
      <c r="C405" s="12"/>
      <c r="D405" s="11" t="s">
        <v>12</v>
      </c>
      <c r="E405" s="13" t="n">
        <v>18</v>
      </c>
      <c r="F405" s="13"/>
      <c r="G405" s="19" t="s">
        <v>14</v>
      </c>
      <c r="H405" s="13" t="n">
        <v>38500</v>
      </c>
      <c r="I405" s="14" t="n">
        <v>30800</v>
      </c>
      <c r="J405" s="14" t="n">
        <f aca="false">E405*I405</f>
        <v>554400</v>
      </c>
      <c r="K405" s="15" t="n">
        <f aca="false">H405*80%</f>
        <v>30800</v>
      </c>
      <c r="L405" s="0"/>
    </row>
    <row r="406" s="20" customFormat="true" ht="19.5" hidden="false" customHeight="true" outlineLevel="0" collapsed="false">
      <c r="A406" s="11" t="n">
        <v>405</v>
      </c>
      <c r="B406" s="26"/>
      <c r="C406" s="12"/>
      <c r="D406" s="22" t="s">
        <v>12</v>
      </c>
      <c r="E406" s="19" t="n">
        <v>6</v>
      </c>
      <c r="F406" s="19"/>
      <c r="G406" s="19" t="s">
        <v>14</v>
      </c>
      <c r="H406" s="13" t="n">
        <v>98000</v>
      </c>
      <c r="I406" s="14" t="n">
        <v>78400</v>
      </c>
      <c r="J406" s="14" t="n">
        <f aca="false">E406*I406</f>
        <v>470400</v>
      </c>
      <c r="K406" s="15" t="n">
        <f aca="false">H406*80%</f>
        <v>78400</v>
      </c>
      <c r="L406" s="0"/>
    </row>
    <row r="407" s="20" customFormat="true" ht="19.5" hidden="false" customHeight="true" outlineLevel="0" collapsed="false">
      <c r="A407" s="11" t="n">
        <v>406</v>
      </c>
      <c r="B407" s="26"/>
      <c r="C407" s="12"/>
      <c r="D407" s="11" t="s">
        <v>12</v>
      </c>
      <c r="E407" s="13" t="n">
        <v>12</v>
      </c>
      <c r="F407" s="13"/>
      <c r="G407" s="19" t="s">
        <v>14</v>
      </c>
      <c r="H407" s="13" t="n">
        <v>138000</v>
      </c>
      <c r="I407" s="14" t="n">
        <v>110400</v>
      </c>
      <c r="J407" s="14" t="n">
        <f aca="false">E407*I407</f>
        <v>1324800</v>
      </c>
      <c r="K407" s="15" t="n">
        <f aca="false">H407*80%</f>
        <v>110400</v>
      </c>
      <c r="L407" s="0"/>
    </row>
    <row r="408" s="20" customFormat="true" ht="19.5" hidden="false" customHeight="true" outlineLevel="0" collapsed="false">
      <c r="A408" s="11" t="n">
        <v>407</v>
      </c>
      <c r="B408" s="26"/>
      <c r="C408" s="12"/>
      <c r="D408" s="11" t="s">
        <v>12</v>
      </c>
      <c r="E408" s="13" t="n">
        <v>18</v>
      </c>
      <c r="F408" s="13"/>
      <c r="G408" s="19" t="s">
        <v>14</v>
      </c>
      <c r="H408" s="13" t="n">
        <v>125000</v>
      </c>
      <c r="I408" s="14" t="n">
        <v>100000</v>
      </c>
      <c r="J408" s="14" t="n">
        <f aca="false">E408*I408</f>
        <v>1800000</v>
      </c>
      <c r="K408" s="15" t="n">
        <f aca="false">H408*80%</f>
        <v>100000</v>
      </c>
      <c r="L408" s="0"/>
    </row>
    <row r="409" s="20" customFormat="true" ht="19.5" hidden="false" customHeight="true" outlineLevel="0" collapsed="false">
      <c r="A409" s="11" t="n">
        <v>408</v>
      </c>
      <c r="B409" s="26"/>
      <c r="C409" s="12"/>
      <c r="D409" s="11" t="s">
        <v>12</v>
      </c>
      <c r="E409" s="13" t="n">
        <v>78</v>
      </c>
      <c r="F409" s="13"/>
      <c r="G409" s="19" t="s">
        <v>14</v>
      </c>
      <c r="H409" s="13" t="n">
        <v>205000</v>
      </c>
      <c r="I409" s="14" t="n">
        <v>164000</v>
      </c>
      <c r="J409" s="14" t="n">
        <f aca="false">E409*I409</f>
        <v>12792000</v>
      </c>
      <c r="K409" s="15" t="n">
        <f aca="false">H409*80%</f>
        <v>164000</v>
      </c>
      <c r="L409" s="0"/>
    </row>
    <row r="410" s="20" customFormat="true" ht="19.5" hidden="false" customHeight="true" outlineLevel="0" collapsed="false">
      <c r="A410" s="11" t="n">
        <v>409</v>
      </c>
      <c r="B410" s="26"/>
      <c r="C410" s="12"/>
      <c r="D410" s="22" t="s">
        <v>12</v>
      </c>
      <c r="E410" s="19" t="n">
        <v>6</v>
      </c>
      <c r="F410" s="19"/>
      <c r="G410" s="19" t="s">
        <v>14</v>
      </c>
      <c r="H410" s="19" t="n">
        <v>335000</v>
      </c>
      <c r="I410" s="14" t="n">
        <v>268000</v>
      </c>
      <c r="J410" s="14" t="n">
        <f aca="false">E410*I410</f>
        <v>1608000</v>
      </c>
      <c r="K410" s="15" t="n">
        <f aca="false">H410*80%</f>
        <v>268000</v>
      </c>
      <c r="L410" s="0"/>
    </row>
    <row r="411" customFormat="false" ht="15.75" hidden="false" customHeight="false" outlineLevel="0" collapsed="false">
      <c r="A411" s="11" t="n">
        <v>410</v>
      </c>
      <c r="B411" s="50" t="s">
        <v>657</v>
      </c>
      <c r="C411" s="51"/>
      <c r="D411" s="22" t="s">
        <v>12</v>
      </c>
      <c r="E411" s="43" t="n">
        <v>12</v>
      </c>
      <c r="F411" s="43"/>
      <c r="G411" s="19" t="s">
        <v>14</v>
      </c>
      <c r="H411" s="43" t="n">
        <v>25600</v>
      </c>
      <c r="I411" s="14" t="n">
        <v>20480</v>
      </c>
      <c r="J411" s="14" t="n">
        <f aca="false">E411*I411</f>
        <v>245760</v>
      </c>
      <c r="K411" s="15" t="n">
        <f aca="false">H411*80%</f>
        <v>20480</v>
      </c>
    </row>
    <row r="412" customFormat="false" ht="15.75" hidden="false" customHeight="true" outlineLevel="0" collapsed="false">
      <c r="A412" s="11" t="n">
        <v>411</v>
      </c>
      <c r="B412" s="12" t="s">
        <v>658</v>
      </c>
      <c r="C412" s="12"/>
      <c r="D412" s="22" t="s">
        <v>12</v>
      </c>
      <c r="E412" s="13" t="n">
        <v>180</v>
      </c>
      <c r="F412" s="13"/>
      <c r="G412" s="19" t="s">
        <v>14</v>
      </c>
      <c r="H412" s="13" t="n">
        <v>23500</v>
      </c>
      <c r="I412" s="14" t="n">
        <v>18800</v>
      </c>
      <c r="J412" s="14" t="n">
        <f aca="false">E412*I412</f>
        <v>3384000</v>
      </c>
      <c r="K412" s="15" t="n">
        <f aca="false">H412*80%</f>
        <v>18800</v>
      </c>
    </row>
    <row r="413" customFormat="false" ht="15.75" hidden="false" customHeight="true" outlineLevel="0" collapsed="false">
      <c r="A413" s="11" t="n">
        <v>412</v>
      </c>
      <c r="B413" s="12" t="s">
        <v>659</v>
      </c>
      <c r="C413" s="12"/>
      <c r="D413" s="22" t="s">
        <v>12</v>
      </c>
      <c r="E413" s="13" t="n">
        <v>192</v>
      </c>
      <c r="F413" s="13"/>
      <c r="G413" s="19" t="s">
        <v>14</v>
      </c>
      <c r="H413" s="13" t="n">
        <v>20000</v>
      </c>
      <c r="I413" s="14" t="n">
        <v>16000</v>
      </c>
      <c r="J413" s="14" t="n">
        <f aca="false">E413*I413</f>
        <v>3072000</v>
      </c>
      <c r="K413" s="15" t="n">
        <f aca="false">H413*80%</f>
        <v>16000</v>
      </c>
    </row>
    <row r="414" s="20" customFormat="true" ht="19.5" hidden="false" customHeight="true" outlineLevel="0" collapsed="false">
      <c r="A414" s="11" t="n">
        <v>413</v>
      </c>
      <c r="B414" s="26" t="s">
        <v>660</v>
      </c>
      <c r="C414" s="12"/>
      <c r="D414" s="22" t="s">
        <v>48</v>
      </c>
      <c r="E414" s="19" t="n">
        <f aca="false">96+128+128</f>
        <v>352</v>
      </c>
      <c r="F414" s="19"/>
      <c r="G414" s="19" t="s">
        <v>14</v>
      </c>
      <c r="H414" s="14" t="n">
        <v>60000</v>
      </c>
      <c r="I414" s="14" t="n">
        <v>48000</v>
      </c>
      <c r="J414" s="14" t="n">
        <f aca="false">E414*I414</f>
        <v>16896000</v>
      </c>
      <c r="K414" s="15" t="n">
        <f aca="false">H414*80%</f>
        <v>48000</v>
      </c>
      <c r="L414" s="0"/>
    </row>
    <row r="415" s="20" customFormat="true" ht="19.5" hidden="false" customHeight="true" outlineLevel="0" collapsed="false">
      <c r="A415" s="11" t="n">
        <v>414</v>
      </c>
      <c r="B415" s="26"/>
      <c r="C415" s="18"/>
      <c r="D415" s="11" t="s">
        <v>338</v>
      </c>
      <c r="E415" s="19" t="n">
        <v>20</v>
      </c>
      <c r="F415" s="19"/>
      <c r="G415" s="19" t="s">
        <v>14</v>
      </c>
      <c r="H415" s="14" t="n">
        <v>35000</v>
      </c>
      <c r="I415" s="14" t="n">
        <v>28000</v>
      </c>
      <c r="J415" s="14" t="n">
        <f aca="false">E415*I415</f>
        <v>560000</v>
      </c>
      <c r="K415" s="15" t="n">
        <f aca="false">H415*80%</f>
        <v>28000</v>
      </c>
      <c r="L415" s="0"/>
    </row>
    <row r="416" s="20" customFormat="true" ht="19.5" hidden="false" customHeight="true" outlineLevel="0" collapsed="false">
      <c r="A416" s="11" t="n">
        <v>415</v>
      </c>
      <c r="B416" s="26"/>
      <c r="C416" s="12"/>
      <c r="D416" s="22" t="s">
        <v>48</v>
      </c>
      <c r="E416" s="13" t="n">
        <v>24</v>
      </c>
      <c r="F416" s="19"/>
      <c r="G416" s="19" t="s">
        <v>14</v>
      </c>
      <c r="H416" s="14" t="n">
        <v>20000</v>
      </c>
      <c r="I416" s="14" t="n">
        <v>16000</v>
      </c>
      <c r="J416" s="14" t="n">
        <f aca="false">E416*I416</f>
        <v>384000</v>
      </c>
      <c r="K416" s="15" t="n">
        <f aca="false">H416*80%</f>
        <v>16000</v>
      </c>
      <c r="L416" s="0"/>
    </row>
    <row r="417" s="20" customFormat="true" ht="19.5" hidden="false" customHeight="true" outlineLevel="0" collapsed="false">
      <c r="A417" s="11" t="n">
        <v>416</v>
      </c>
      <c r="B417" s="26"/>
      <c r="C417" s="12"/>
      <c r="D417" s="22" t="s">
        <v>48</v>
      </c>
      <c r="E417" s="13" t="n">
        <v>24</v>
      </c>
      <c r="F417" s="19"/>
      <c r="G417" s="19" t="s">
        <v>14</v>
      </c>
      <c r="H417" s="14" t="n">
        <v>10000</v>
      </c>
      <c r="I417" s="14" t="n">
        <v>8000</v>
      </c>
      <c r="J417" s="14" t="n">
        <f aca="false">E417*I417</f>
        <v>192000</v>
      </c>
      <c r="K417" s="15" t="n">
        <f aca="false">H417*80%</f>
        <v>8000</v>
      </c>
      <c r="L417" s="0"/>
    </row>
    <row r="418" s="20" customFormat="true" ht="19.5" hidden="false" customHeight="true" outlineLevel="0" collapsed="false">
      <c r="A418" s="11" t="n">
        <v>417</v>
      </c>
      <c r="B418" s="26"/>
      <c r="C418" s="12"/>
      <c r="D418" s="22" t="s">
        <v>48</v>
      </c>
      <c r="E418" s="13" t="n">
        <v>5</v>
      </c>
      <c r="F418" s="19"/>
      <c r="G418" s="19" t="s">
        <v>14</v>
      </c>
      <c r="H418" s="14" t="n">
        <v>450000</v>
      </c>
      <c r="I418" s="14" t="n">
        <v>220000</v>
      </c>
      <c r="J418" s="14" t="n">
        <f aca="false">E418*I418</f>
        <v>1100000</v>
      </c>
      <c r="K418" s="15" t="n">
        <f aca="false">H418*80%</f>
        <v>360000</v>
      </c>
      <c r="L418" s="0"/>
    </row>
    <row r="419" s="20" customFormat="true" ht="19.5" hidden="false" customHeight="true" outlineLevel="0" collapsed="false">
      <c r="A419" s="11" t="n">
        <v>418</v>
      </c>
      <c r="B419" s="26"/>
      <c r="C419" s="12"/>
      <c r="D419" s="22" t="s">
        <v>48</v>
      </c>
      <c r="E419" s="13" t="n">
        <v>12</v>
      </c>
      <c r="F419" s="19"/>
      <c r="G419" s="19" t="s">
        <v>14</v>
      </c>
      <c r="H419" s="14" t="n">
        <v>335000</v>
      </c>
      <c r="I419" s="14" t="n">
        <v>268000</v>
      </c>
      <c r="J419" s="14" t="n">
        <f aca="false">E419*I419</f>
        <v>3216000</v>
      </c>
      <c r="K419" s="15" t="n">
        <f aca="false">H419*80%</f>
        <v>268000</v>
      </c>
      <c r="L419" s="0"/>
    </row>
    <row r="420" s="20" customFormat="true" ht="19.5" hidden="false" customHeight="true" outlineLevel="0" collapsed="false">
      <c r="A420" s="11" t="n">
        <v>419</v>
      </c>
      <c r="B420" s="26"/>
      <c r="C420" s="12"/>
      <c r="D420" s="22" t="s">
        <v>48</v>
      </c>
      <c r="E420" s="19" t="n">
        <v>40</v>
      </c>
      <c r="F420" s="19"/>
      <c r="G420" s="19" t="s">
        <v>14</v>
      </c>
      <c r="H420" s="14" t="n">
        <v>60000</v>
      </c>
      <c r="I420" s="14" t="n">
        <v>48000</v>
      </c>
      <c r="J420" s="14" t="n">
        <f aca="false">E420*I420</f>
        <v>1920000</v>
      </c>
      <c r="K420" s="15" t="n">
        <f aca="false">H420*80%</f>
        <v>48000</v>
      </c>
      <c r="L420" s="0"/>
    </row>
    <row r="421" s="20" customFormat="true" ht="19.5" hidden="false" customHeight="true" outlineLevel="0" collapsed="false">
      <c r="A421" s="11" t="n">
        <v>420</v>
      </c>
      <c r="B421" s="26"/>
      <c r="C421" s="12"/>
      <c r="D421" s="22" t="s">
        <v>48</v>
      </c>
      <c r="E421" s="19" t="n">
        <v>20</v>
      </c>
      <c r="F421" s="19"/>
      <c r="G421" s="19" t="s">
        <v>14</v>
      </c>
      <c r="H421" s="14" t="n">
        <v>120000</v>
      </c>
      <c r="I421" s="14" t="n">
        <v>96000</v>
      </c>
      <c r="J421" s="14" t="n">
        <f aca="false">E421*I421</f>
        <v>1920000</v>
      </c>
      <c r="K421" s="15" t="n">
        <f aca="false">H421*80%</f>
        <v>96000</v>
      </c>
      <c r="L421" s="0"/>
    </row>
    <row r="422" s="20" customFormat="true" ht="19.5" hidden="false" customHeight="true" outlineLevel="0" collapsed="false">
      <c r="A422" s="11" t="n">
        <v>421</v>
      </c>
      <c r="B422" s="26"/>
      <c r="C422" s="12"/>
      <c r="D422" s="22" t="s">
        <v>48</v>
      </c>
      <c r="E422" s="19" t="n">
        <v>40</v>
      </c>
      <c r="F422" s="19"/>
      <c r="G422" s="19" t="s">
        <v>14</v>
      </c>
      <c r="H422" s="14" t="n">
        <v>50000</v>
      </c>
      <c r="I422" s="14" t="n">
        <v>40000</v>
      </c>
      <c r="J422" s="14" t="n">
        <f aca="false">E422*I422</f>
        <v>1600000</v>
      </c>
      <c r="K422" s="15" t="n">
        <f aca="false">H422*80%</f>
        <v>40000</v>
      </c>
      <c r="L422" s="0"/>
    </row>
    <row r="423" s="20" customFormat="true" ht="19.5" hidden="false" customHeight="true" outlineLevel="0" collapsed="false">
      <c r="A423" s="11" t="n">
        <v>422</v>
      </c>
      <c r="B423" s="26"/>
      <c r="C423" s="12"/>
      <c r="D423" s="22" t="s">
        <v>48</v>
      </c>
      <c r="E423" s="19" t="n">
        <v>20</v>
      </c>
      <c r="F423" s="19"/>
      <c r="G423" s="19" t="s">
        <v>14</v>
      </c>
      <c r="H423" s="14" t="n">
        <v>20000</v>
      </c>
      <c r="I423" s="14" t="n">
        <v>16000</v>
      </c>
      <c r="J423" s="14" t="n">
        <f aca="false">E423*I423</f>
        <v>320000</v>
      </c>
      <c r="K423" s="15" t="n">
        <f aca="false">H423*80%</f>
        <v>16000</v>
      </c>
      <c r="L423" s="0"/>
    </row>
    <row r="424" s="20" customFormat="true" ht="19.5" hidden="false" customHeight="true" outlineLevel="0" collapsed="false">
      <c r="A424" s="11" t="n">
        <v>423</v>
      </c>
      <c r="B424" s="26"/>
      <c r="C424" s="18"/>
      <c r="D424" s="22" t="s">
        <v>48</v>
      </c>
      <c r="E424" s="13" t="n">
        <v>30</v>
      </c>
      <c r="F424" s="19"/>
      <c r="G424" s="19" t="s">
        <v>14</v>
      </c>
      <c r="H424" s="14" t="n">
        <v>22000</v>
      </c>
      <c r="I424" s="14" t="n">
        <v>17600</v>
      </c>
      <c r="J424" s="14" t="n">
        <f aca="false">E424*I424</f>
        <v>528000</v>
      </c>
      <c r="K424" s="15" t="n">
        <f aca="false">H424*80%</f>
        <v>17600</v>
      </c>
      <c r="L424" s="0"/>
    </row>
    <row r="425" s="20" customFormat="true" ht="19.5" hidden="false" customHeight="true" outlineLevel="0" collapsed="false">
      <c r="A425" s="11" t="n">
        <v>424</v>
      </c>
      <c r="B425" s="26"/>
      <c r="C425" s="12"/>
      <c r="D425" s="22" t="s">
        <v>48</v>
      </c>
      <c r="E425" s="19" t="n">
        <v>12</v>
      </c>
      <c r="F425" s="19"/>
      <c r="G425" s="19" t="s">
        <v>14</v>
      </c>
      <c r="H425" s="14" t="n">
        <v>60000</v>
      </c>
      <c r="I425" s="14" t="n">
        <v>48000</v>
      </c>
      <c r="J425" s="14" t="n">
        <f aca="false">E425*I425</f>
        <v>576000</v>
      </c>
      <c r="K425" s="15" t="n">
        <f aca="false">H425*80%</f>
        <v>48000</v>
      </c>
      <c r="L425" s="0"/>
    </row>
    <row r="426" s="20" customFormat="true" ht="19.5" hidden="false" customHeight="true" outlineLevel="0" collapsed="false">
      <c r="A426" s="11" t="n">
        <v>425</v>
      </c>
      <c r="B426" s="12" t="s">
        <v>661</v>
      </c>
      <c r="C426" s="12"/>
      <c r="D426" s="22" t="s">
        <v>662</v>
      </c>
      <c r="E426" s="13" t="n">
        <v>20</v>
      </c>
      <c r="F426" s="13" t="s">
        <v>663</v>
      </c>
      <c r="G426" s="19" t="s">
        <v>14</v>
      </c>
      <c r="H426" s="13" t="n">
        <v>95000</v>
      </c>
      <c r="I426" s="14" t="n">
        <v>76000</v>
      </c>
      <c r="J426" s="14" t="n">
        <f aca="false">E426*I426</f>
        <v>1520000</v>
      </c>
      <c r="K426" s="15" t="n">
        <f aca="false">H426*80%</f>
        <v>76000</v>
      </c>
      <c r="L426" s="0"/>
    </row>
    <row r="427" s="20" customFormat="true" ht="19.5" hidden="false" customHeight="true" outlineLevel="0" collapsed="false">
      <c r="A427" s="11" t="n">
        <v>426</v>
      </c>
      <c r="B427" s="12"/>
      <c r="C427" s="12"/>
      <c r="D427" s="22" t="s">
        <v>662</v>
      </c>
      <c r="E427" s="13" t="n">
        <v>50</v>
      </c>
      <c r="F427" s="13" t="s">
        <v>663</v>
      </c>
      <c r="G427" s="19" t="s">
        <v>14</v>
      </c>
      <c r="H427" s="13" t="n">
        <v>100000</v>
      </c>
      <c r="I427" s="14" t="n">
        <v>80000</v>
      </c>
      <c r="J427" s="14" t="n">
        <f aca="false">E427*I427</f>
        <v>4000000</v>
      </c>
      <c r="K427" s="15" t="n">
        <f aca="false">H427*80%</f>
        <v>80000</v>
      </c>
      <c r="L427" s="0"/>
    </row>
    <row r="428" s="20" customFormat="true" ht="19.5" hidden="false" customHeight="true" outlineLevel="0" collapsed="false">
      <c r="A428" s="11" t="n">
        <v>427</v>
      </c>
      <c r="B428" s="12"/>
      <c r="C428" s="12"/>
      <c r="D428" s="22" t="s">
        <v>662</v>
      </c>
      <c r="E428" s="13" t="n">
        <v>20</v>
      </c>
      <c r="F428" s="13" t="s">
        <v>663</v>
      </c>
      <c r="G428" s="19" t="s">
        <v>14</v>
      </c>
      <c r="H428" s="13" t="n">
        <v>110000</v>
      </c>
      <c r="I428" s="14" t="n">
        <v>88000</v>
      </c>
      <c r="J428" s="14" t="n">
        <f aca="false">E428*I428</f>
        <v>1760000</v>
      </c>
      <c r="K428" s="15" t="n">
        <f aca="false">H428*80%</f>
        <v>88000</v>
      </c>
      <c r="L428" s="0"/>
    </row>
    <row r="429" s="20" customFormat="true" ht="19.5" hidden="false" customHeight="true" outlineLevel="0" collapsed="false">
      <c r="A429" s="11" t="n">
        <v>428</v>
      </c>
      <c r="B429" s="12"/>
      <c r="C429" s="12"/>
      <c r="D429" s="22" t="s">
        <v>662</v>
      </c>
      <c r="E429" s="13" t="n">
        <v>10</v>
      </c>
      <c r="F429" s="13" t="s">
        <v>663</v>
      </c>
      <c r="G429" s="19" t="s">
        <v>14</v>
      </c>
      <c r="H429" s="13" t="n">
        <v>125000</v>
      </c>
      <c r="I429" s="14" t="n">
        <v>100000</v>
      </c>
      <c r="J429" s="14" t="n">
        <f aca="false">E429*I429</f>
        <v>1000000</v>
      </c>
      <c r="K429" s="15" t="n">
        <f aca="false">H429*80%</f>
        <v>100000</v>
      </c>
      <c r="L429" s="0"/>
    </row>
    <row r="430" s="20" customFormat="true" ht="19.5" hidden="false" customHeight="true" outlineLevel="0" collapsed="false">
      <c r="A430" s="11" t="n">
        <v>429</v>
      </c>
      <c r="B430" s="26" t="s">
        <v>660</v>
      </c>
      <c r="C430" s="52"/>
      <c r="D430" s="22" t="s">
        <v>300</v>
      </c>
      <c r="E430" s="19" t="n">
        <v>283</v>
      </c>
      <c r="F430" s="19"/>
      <c r="G430" s="19" t="s">
        <v>14</v>
      </c>
      <c r="H430" s="19" t="n">
        <v>36000</v>
      </c>
      <c r="I430" s="14" t="n">
        <v>25000</v>
      </c>
      <c r="J430" s="14" t="n">
        <f aca="false">E430*I430</f>
        <v>7075000</v>
      </c>
      <c r="K430" s="15" t="n">
        <f aca="false">H430*80%</f>
        <v>28800</v>
      </c>
      <c r="L430" s="0"/>
    </row>
    <row r="431" s="20" customFormat="true" ht="19.5" hidden="false" customHeight="true" outlineLevel="0" collapsed="false">
      <c r="A431" s="11" t="n">
        <v>430</v>
      </c>
      <c r="B431" s="26"/>
      <c r="C431" s="12"/>
      <c r="D431" s="22" t="s">
        <v>300</v>
      </c>
      <c r="E431" s="19" t="n">
        <v>377</v>
      </c>
      <c r="F431" s="19"/>
      <c r="G431" s="19" t="s">
        <v>14</v>
      </c>
      <c r="H431" s="19" t="n">
        <v>36000</v>
      </c>
      <c r="I431" s="14" t="n">
        <v>25000</v>
      </c>
      <c r="J431" s="14" t="n">
        <f aca="false">E431*I431</f>
        <v>9425000</v>
      </c>
      <c r="K431" s="15" t="n">
        <f aca="false">H431*80%</f>
        <v>28800</v>
      </c>
      <c r="L431" s="0"/>
    </row>
    <row r="432" s="20" customFormat="true" ht="19.5" hidden="false" customHeight="true" outlineLevel="0" collapsed="false">
      <c r="A432" s="11" t="n">
        <v>431</v>
      </c>
      <c r="B432" s="26"/>
      <c r="C432" s="12"/>
      <c r="D432" s="22" t="s">
        <v>300</v>
      </c>
      <c r="E432" s="19" t="n">
        <v>1413</v>
      </c>
      <c r="F432" s="19"/>
      <c r="G432" s="19" t="s">
        <v>14</v>
      </c>
      <c r="H432" s="19" t="n">
        <v>36000</v>
      </c>
      <c r="I432" s="14" t="n">
        <v>25000</v>
      </c>
      <c r="J432" s="14" t="n">
        <f aca="false">E432*I432</f>
        <v>35325000</v>
      </c>
      <c r="K432" s="15" t="n">
        <f aca="false">H432*80%</f>
        <v>28800</v>
      </c>
      <c r="L432" s="0"/>
    </row>
    <row r="433" s="20" customFormat="true" ht="19.5" hidden="false" customHeight="true" outlineLevel="0" collapsed="false">
      <c r="A433" s="11" t="n">
        <v>432</v>
      </c>
      <c r="B433" s="26"/>
      <c r="C433" s="12"/>
      <c r="D433" s="22" t="s">
        <v>300</v>
      </c>
      <c r="E433" s="19" t="n">
        <v>424</v>
      </c>
      <c r="F433" s="19"/>
      <c r="G433" s="19" t="s">
        <v>14</v>
      </c>
      <c r="H433" s="19" t="n">
        <v>36000</v>
      </c>
      <c r="I433" s="14" t="n">
        <v>25000</v>
      </c>
      <c r="J433" s="14" t="n">
        <f aca="false">E433*I433</f>
        <v>10600000</v>
      </c>
      <c r="K433" s="15" t="n">
        <f aca="false">H433*80%</f>
        <v>28800</v>
      </c>
      <c r="L433" s="0"/>
    </row>
    <row r="434" s="20" customFormat="true" ht="19.5" hidden="false" customHeight="true" outlineLevel="0" collapsed="false">
      <c r="A434" s="11" t="n">
        <v>433</v>
      </c>
      <c r="B434" s="26"/>
      <c r="C434" s="12"/>
      <c r="D434" s="22" t="s">
        <v>300</v>
      </c>
      <c r="E434" s="19" t="n">
        <v>565</v>
      </c>
      <c r="F434" s="19"/>
      <c r="G434" s="19" t="s">
        <v>14</v>
      </c>
      <c r="H434" s="19" t="n">
        <v>36000</v>
      </c>
      <c r="I434" s="14" t="n">
        <v>25000</v>
      </c>
      <c r="J434" s="14" t="n">
        <f aca="false">E434*I434</f>
        <v>14125000</v>
      </c>
      <c r="K434" s="15" t="n">
        <f aca="false">H434*80%</f>
        <v>28800</v>
      </c>
      <c r="L434" s="0"/>
    </row>
    <row r="435" s="20" customFormat="true" ht="19.5" hidden="false" customHeight="true" outlineLevel="0" collapsed="false">
      <c r="A435" s="11" t="n">
        <v>434</v>
      </c>
      <c r="B435" s="26"/>
      <c r="C435" s="12"/>
      <c r="D435" s="11" t="s">
        <v>300</v>
      </c>
      <c r="E435" s="13" t="n">
        <v>2826</v>
      </c>
      <c r="F435" s="13"/>
      <c r="G435" s="19" t="s">
        <v>14</v>
      </c>
      <c r="H435" s="19" t="n">
        <v>36000</v>
      </c>
      <c r="I435" s="14" t="n">
        <v>25000</v>
      </c>
      <c r="J435" s="14" t="n">
        <f aca="false">E435*I435</f>
        <v>70650000</v>
      </c>
      <c r="K435" s="15" t="n">
        <f aca="false">H435*80%</f>
        <v>28800</v>
      </c>
      <c r="L435" s="0"/>
    </row>
    <row r="436" s="20" customFormat="true" ht="19.5" hidden="false" customHeight="true" outlineLevel="0" collapsed="false">
      <c r="A436" s="11" t="n">
        <v>435</v>
      </c>
      <c r="B436" s="26"/>
      <c r="C436" s="12"/>
      <c r="D436" s="22" t="s">
        <v>300</v>
      </c>
      <c r="E436" s="13" t="n">
        <v>471</v>
      </c>
      <c r="F436" s="13"/>
      <c r="G436" s="19" t="s">
        <v>14</v>
      </c>
      <c r="H436" s="19" t="n">
        <v>36000</v>
      </c>
      <c r="I436" s="14" t="n">
        <v>25000</v>
      </c>
      <c r="J436" s="14" t="n">
        <f aca="false">E436*I436</f>
        <v>11775000</v>
      </c>
      <c r="K436" s="15" t="n">
        <f aca="false">H436*80%</f>
        <v>28800</v>
      </c>
      <c r="L436" s="0"/>
    </row>
    <row r="437" s="20" customFormat="true" ht="19.5" hidden="false" customHeight="true" outlineLevel="0" collapsed="false">
      <c r="A437" s="11" t="n">
        <v>436</v>
      </c>
      <c r="B437" s="26"/>
      <c r="C437" s="12"/>
      <c r="D437" s="22" t="s">
        <v>300</v>
      </c>
      <c r="E437" s="13" t="n">
        <v>471</v>
      </c>
      <c r="F437" s="13"/>
      <c r="G437" s="19" t="s">
        <v>14</v>
      </c>
      <c r="H437" s="19" t="n">
        <v>36000</v>
      </c>
      <c r="I437" s="14" t="n">
        <v>25000</v>
      </c>
      <c r="J437" s="14" t="n">
        <f aca="false">E437*I437</f>
        <v>11775000</v>
      </c>
      <c r="K437" s="15" t="n">
        <f aca="false">H437*80%</f>
        <v>28800</v>
      </c>
      <c r="L437" s="0"/>
    </row>
    <row r="438" s="20" customFormat="true" ht="19.5" hidden="false" customHeight="true" outlineLevel="0" collapsed="false">
      <c r="A438" s="11" t="n">
        <v>437</v>
      </c>
      <c r="B438" s="12" t="s">
        <v>664</v>
      </c>
      <c r="C438" s="12"/>
      <c r="D438" s="22" t="s">
        <v>12</v>
      </c>
      <c r="E438" s="19" t="n">
        <v>18</v>
      </c>
      <c r="F438" s="19"/>
      <c r="G438" s="19" t="s">
        <v>14</v>
      </c>
      <c r="H438" s="19" t="n">
        <v>30000</v>
      </c>
      <c r="I438" s="14" t="n">
        <v>24000</v>
      </c>
      <c r="J438" s="14" t="n">
        <f aca="false">E438*I438</f>
        <v>432000</v>
      </c>
      <c r="K438" s="15" t="n">
        <f aca="false">H438*80%</f>
        <v>24000</v>
      </c>
      <c r="L438" s="0"/>
    </row>
    <row r="439" s="20" customFormat="true" ht="19.5" hidden="false" customHeight="true" outlineLevel="0" collapsed="false">
      <c r="A439" s="11" t="n">
        <v>438</v>
      </c>
      <c r="B439" s="12"/>
      <c r="C439" s="12"/>
      <c r="D439" s="11" t="s">
        <v>12</v>
      </c>
      <c r="E439" s="13" t="n">
        <v>24</v>
      </c>
      <c r="F439" s="13"/>
      <c r="G439" s="19" t="s">
        <v>14</v>
      </c>
      <c r="H439" s="13" t="n">
        <v>50000</v>
      </c>
      <c r="I439" s="14" t="n">
        <v>40000</v>
      </c>
      <c r="J439" s="14" t="n">
        <f aca="false">E439*I439</f>
        <v>960000</v>
      </c>
      <c r="K439" s="15" t="n">
        <f aca="false">H439*80%</f>
        <v>40000</v>
      </c>
      <c r="L439" s="0"/>
    </row>
    <row r="440" s="20" customFormat="true" ht="19.5" hidden="false" customHeight="true" outlineLevel="0" collapsed="false">
      <c r="A440" s="11" t="n">
        <v>439</v>
      </c>
      <c r="B440" s="12"/>
      <c r="C440" s="12"/>
      <c r="D440" s="22" t="s">
        <v>12</v>
      </c>
      <c r="E440" s="19" t="n">
        <v>12</v>
      </c>
      <c r="F440" s="19"/>
      <c r="G440" s="19" t="s">
        <v>14</v>
      </c>
      <c r="H440" s="19" t="n">
        <v>80000</v>
      </c>
      <c r="I440" s="14" t="n">
        <v>64000</v>
      </c>
      <c r="J440" s="14" t="n">
        <f aca="false">E440*I440</f>
        <v>768000</v>
      </c>
      <c r="K440" s="15" t="n">
        <f aca="false">H440*80%</f>
        <v>64000</v>
      </c>
      <c r="L440" s="0"/>
    </row>
    <row r="441" s="20" customFormat="true" ht="19.5" hidden="false" customHeight="true" outlineLevel="0" collapsed="false">
      <c r="A441" s="11" t="n">
        <v>440</v>
      </c>
      <c r="B441" s="12" t="s">
        <v>665</v>
      </c>
      <c r="C441" s="12"/>
      <c r="D441" s="11" t="s">
        <v>12</v>
      </c>
      <c r="E441" s="13" t="n">
        <v>12</v>
      </c>
      <c r="F441" s="13"/>
      <c r="G441" s="19" t="s">
        <v>14</v>
      </c>
      <c r="H441" s="13" t="n">
        <v>61000</v>
      </c>
      <c r="I441" s="14" t="n">
        <v>48800</v>
      </c>
      <c r="J441" s="14" t="n">
        <f aca="false">E441*I441</f>
        <v>585600</v>
      </c>
      <c r="K441" s="15" t="n">
        <f aca="false">H441*80%</f>
        <v>48800</v>
      </c>
      <c r="L441" s="0"/>
    </row>
    <row r="442" s="20" customFormat="true" ht="19.5" hidden="false" customHeight="true" outlineLevel="0" collapsed="false">
      <c r="A442" s="11" t="n">
        <v>441</v>
      </c>
      <c r="B442" s="12"/>
      <c r="C442" s="12"/>
      <c r="D442" s="22" t="s">
        <v>12</v>
      </c>
      <c r="E442" s="19" t="n">
        <v>30</v>
      </c>
      <c r="F442" s="19"/>
      <c r="G442" s="19" t="s">
        <v>14</v>
      </c>
      <c r="H442" s="19" t="n">
        <f aca="false">H441*4</f>
        <v>244000</v>
      </c>
      <c r="I442" s="14" t="n">
        <v>195200</v>
      </c>
      <c r="J442" s="14" t="n">
        <f aca="false">E442*I442</f>
        <v>5856000</v>
      </c>
      <c r="K442" s="15" t="n">
        <f aca="false">H442*80%</f>
        <v>195200</v>
      </c>
      <c r="L442" s="0"/>
    </row>
    <row r="443" s="20" customFormat="true" ht="19.5" hidden="false" customHeight="true" outlineLevel="0" collapsed="false">
      <c r="A443" s="11" t="n">
        <v>442</v>
      </c>
      <c r="B443" s="12"/>
      <c r="C443" s="12"/>
      <c r="D443" s="22" t="s">
        <v>12</v>
      </c>
      <c r="E443" s="19" t="n">
        <v>12</v>
      </c>
      <c r="F443" s="19"/>
      <c r="G443" s="19" t="s">
        <v>14</v>
      </c>
      <c r="H443" s="19" t="n">
        <f aca="false">H442*2</f>
        <v>488000</v>
      </c>
      <c r="I443" s="14" t="n">
        <v>390400</v>
      </c>
      <c r="J443" s="14" t="n">
        <f aca="false">E443*I443</f>
        <v>4684800</v>
      </c>
      <c r="K443" s="15" t="n">
        <f aca="false">H443*80%</f>
        <v>390400</v>
      </c>
      <c r="L443" s="0"/>
    </row>
    <row r="444" s="20" customFormat="true" ht="19.5" hidden="false" customHeight="true" outlineLevel="0" collapsed="false">
      <c r="A444" s="11" t="n">
        <v>443</v>
      </c>
      <c r="B444" s="12"/>
      <c r="C444" s="12"/>
      <c r="D444" s="22" t="s">
        <v>12</v>
      </c>
      <c r="E444" s="13" t="n">
        <v>6</v>
      </c>
      <c r="F444" s="13"/>
      <c r="G444" s="19" t="s">
        <v>14</v>
      </c>
      <c r="H444" s="13" t="n">
        <v>500000</v>
      </c>
      <c r="I444" s="14" t="n">
        <v>400000</v>
      </c>
      <c r="J444" s="14" t="n">
        <f aca="false">E444*I444</f>
        <v>2400000</v>
      </c>
      <c r="K444" s="15" t="n">
        <f aca="false">H444*80%</f>
        <v>400000</v>
      </c>
      <c r="L444" s="0"/>
    </row>
    <row r="445" s="20" customFormat="true" ht="19.5" hidden="false" customHeight="true" outlineLevel="0" collapsed="false">
      <c r="A445" s="11" t="n">
        <v>444</v>
      </c>
      <c r="B445" s="12"/>
      <c r="C445" s="12"/>
      <c r="D445" s="22" t="s">
        <v>12</v>
      </c>
      <c r="E445" s="13" t="n">
        <v>2</v>
      </c>
      <c r="F445" s="13"/>
      <c r="G445" s="19" t="s">
        <v>14</v>
      </c>
      <c r="H445" s="13" t="n">
        <v>823000</v>
      </c>
      <c r="I445" s="14" t="n">
        <v>658400</v>
      </c>
      <c r="J445" s="14" t="n">
        <f aca="false">E445*I445</f>
        <v>1316800</v>
      </c>
      <c r="K445" s="15" t="n">
        <f aca="false">H445*80%</f>
        <v>658400</v>
      </c>
      <c r="L445" s="0"/>
    </row>
    <row r="446" s="20" customFormat="true" ht="19.5" hidden="false" customHeight="true" outlineLevel="0" collapsed="false">
      <c r="A446" s="11" t="n">
        <v>445</v>
      </c>
      <c r="B446" s="26" t="s">
        <v>665</v>
      </c>
      <c r="C446" s="12"/>
      <c r="D446" s="22" t="s">
        <v>48</v>
      </c>
      <c r="E446" s="19" t="n">
        <v>50</v>
      </c>
      <c r="F446" s="19"/>
      <c r="G446" s="19" t="s">
        <v>14</v>
      </c>
      <c r="H446" s="14" t="n">
        <v>10000</v>
      </c>
      <c r="I446" s="14" t="n">
        <v>8000</v>
      </c>
      <c r="J446" s="14" t="n">
        <f aca="false">E446*I446</f>
        <v>400000</v>
      </c>
      <c r="K446" s="15" t="n">
        <f aca="false">H446*80%</f>
        <v>8000</v>
      </c>
      <c r="L446" s="0"/>
    </row>
    <row r="447" s="20" customFormat="true" ht="19.5" hidden="false" customHeight="true" outlineLevel="0" collapsed="false">
      <c r="A447" s="11" t="n">
        <v>446</v>
      </c>
      <c r="B447" s="26"/>
      <c r="C447" s="12"/>
      <c r="D447" s="22" t="s">
        <v>48</v>
      </c>
      <c r="E447" s="19" t="n">
        <v>50</v>
      </c>
      <c r="F447" s="19"/>
      <c r="G447" s="19" t="s">
        <v>14</v>
      </c>
      <c r="H447" s="14" t="n">
        <v>15000</v>
      </c>
      <c r="I447" s="14" t="n">
        <v>12000</v>
      </c>
      <c r="J447" s="14" t="n">
        <f aca="false">E447*I447</f>
        <v>600000</v>
      </c>
      <c r="K447" s="15" t="n">
        <f aca="false">H447*80%</f>
        <v>12000</v>
      </c>
      <c r="L447" s="0"/>
    </row>
    <row r="448" s="20" customFormat="true" ht="19.5" hidden="false" customHeight="true" outlineLevel="0" collapsed="false">
      <c r="A448" s="11" t="n">
        <v>447</v>
      </c>
      <c r="B448" s="26"/>
      <c r="C448" s="12"/>
      <c r="D448" s="22" t="s">
        <v>48</v>
      </c>
      <c r="E448" s="19" t="n">
        <v>40</v>
      </c>
      <c r="F448" s="19"/>
      <c r="G448" s="19" t="s">
        <v>14</v>
      </c>
      <c r="H448" s="14" t="n">
        <v>30000</v>
      </c>
      <c r="I448" s="14" t="n">
        <v>24000</v>
      </c>
      <c r="J448" s="14" t="n">
        <f aca="false">E448*I448</f>
        <v>960000</v>
      </c>
      <c r="K448" s="15" t="n">
        <f aca="false">H448*80%</f>
        <v>24000</v>
      </c>
      <c r="L448" s="0"/>
    </row>
    <row r="449" s="20" customFormat="true" ht="19.5" hidden="false" customHeight="true" outlineLevel="0" collapsed="false">
      <c r="A449" s="11" t="n">
        <v>448</v>
      </c>
      <c r="B449" s="26"/>
      <c r="C449" s="12"/>
      <c r="D449" s="22" t="s">
        <v>48</v>
      </c>
      <c r="E449" s="19" t="n">
        <v>20</v>
      </c>
      <c r="F449" s="19"/>
      <c r="G449" s="19" t="s">
        <v>14</v>
      </c>
      <c r="H449" s="14" t="n">
        <v>35000</v>
      </c>
      <c r="I449" s="14" t="n">
        <v>28000</v>
      </c>
      <c r="J449" s="14" t="n">
        <f aca="false">E449*I449</f>
        <v>560000</v>
      </c>
      <c r="K449" s="15" t="n">
        <f aca="false">H449*80%</f>
        <v>28000</v>
      </c>
      <c r="L449" s="0"/>
    </row>
    <row r="450" s="20" customFormat="true" ht="19.5" hidden="false" customHeight="true" outlineLevel="0" collapsed="false">
      <c r="A450" s="11" t="n">
        <v>449</v>
      </c>
      <c r="B450" s="26"/>
      <c r="C450" s="12"/>
      <c r="D450" s="22" t="s">
        <v>48</v>
      </c>
      <c r="E450" s="19" t="n">
        <v>30</v>
      </c>
      <c r="F450" s="19"/>
      <c r="G450" s="19" t="s">
        <v>14</v>
      </c>
      <c r="H450" s="14" t="n">
        <v>90000</v>
      </c>
      <c r="I450" s="14" t="n">
        <v>72000</v>
      </c>
      <c r="J450" s="14" t="n">
        <f aca="false">E450*I450</f>
        <v>2160000</v>
      </c>
      <c r="K450" s="15" t="n">
        <f aca="false">H450*80%</f>
        <v>72000</v>
      </c>
      <c r="L450" s="0"/>
    </row>
    <row r="451" s="20" customFormat="true" ht="19.5" hidden="false" customHeight="true" outlineLevel="0" collapsed="false">
      <c r="A451" s="11" t="n">
        <v>450</v>
      </c>
      <c r="B451" s="26"/>
      <c r="C451" s="12"/>
      <c r="D451" s="22" t="s">
        <v>48</v>
      </c>
      <c r="E451" s="19" t="n">
        <v>50</v>
      </c>
      <c r="F451" s="19"/>
      <c r="G451" s="19" t="s">
        <v>14</v>
      </c>
      <c r="H451" s="14" t="n">
        <v>95000</v>
      </c>
      <c r="I451" s="14" t="n">
        <v>76000</v>
      </c>
      <c r="J451" s="14" t="n">
        <f aca="false">E451*I451</f>
        <v>3800000</v>
      </c>
      <c r="K451" s="15" t="n">
        <f aca="false">H451*80%</f>
        <v>76000</v>
      </c>
      <c r="L451" s="0"/>
    </row>
    <row r="452" s="20" customFormat="true" ht="19.5" hidden="false" customHeight="true" outlineLevel="0" collapsed="false">
      <c r="A452" s="11" t="n">
        <v>451</v>
      </c>
      <c r="B452" s="26"/>
      <c r="C452" s="12"/>
      <c r="D452" s="22" t="s">
        <v>48</v>
      </c>
      <c r="E452" s="19" t="n">
        <v>50</v>
      </c>
      <c r="F452" s="19"/>
      <c r="G452" s="19" t="s">
        <v>14</v>
      </c>
      <c r="H452" s="14" t="n">
        <v>74000</v>
      </c>
      <c r="I452" s="14" t="n">
        <v>59200</v>
      </c>
      <c r="J452" s="14" t="n">
        <f aca="false">E452*I452</f>
        <v>2960000</v>
      </c>
      <c r="K452" s="15" t="n">
        <f aca="false">H452*80%</f>
        <v>59200</v>
      </c>
      <c r="L452" s="0"/>
    </row>
    <row r="453" s="20" customFormat="true" ht="19.5" hidden="false" customHeight="true" outlineLevel="0" collapsed="false">
      <c r="A453" s="11" t="n">
        <v>452</v>
      </c>
      <c r="B453" s="26"/>
      <c r="C453" s="12"/>
      <c r="D453" s="22" t="s">
        <v>48</v>
      </c>
      <c r="E453" s="19" t="n">
        <v>30</v>
      </c>
      <c r="F453" s="19"/>
      <c r="G453" s="19" t="s">
        <v>14</v>
      </c>
      <c r="H453" s="14" t="n">
        <v>85000</v>
      </c>
      <c r="I453" s="14" t="n">
        <v>68000</v>
      </c>
      <c r="J453" s="14" t="n">
        <f aca="false">E453*I453</f>
        <v>2040000</v>
      </c>
      <c r="K453" s="15" t="n">
        <f aca="false">H453*80%</f>
        <v>68000</v>
      </c>
      <c r="L453" s="0"/>
    </row>
    <row r="454" s="20" customFormat="true" ht="19.5" hidden="false" customHeight="true" outlineLevel="0" collapsed="false">
      <c r="A454" s="11" t="n">
        <v>453</v>
      </c>
      <c r="B454" s="26"/>
      <c r="C454" s="12"/>
      <c r="D454" s="22" t="s">
        <v>48</v>
      </c>
      <c r="E454" s="19" t="n">
        <v>30</v>
      </c>
      <c r="F454" s="19"/>
      <c r="G454" s="19" t="s">
        <v>14</v>
      </c>
      <c r="H454" s="14" t="n">
        <v>125000</v>
      </c>
      <c r="I454" s="14" t="n">
        <v>100000</v>
      </c>
      <c r="J454" s="14" t="n">
        <f aca="false">E454*I454</f>
        <v>3000000</v>
      </c>
      <c r="K454" s="15" t="n">
        <f aca="false">H454*80%</f>
        <v>100000</v>
      </c>
      <c r="L454" s="0"/>
    </row>
    <row r="455" s="20" customFormat="true" ht="19.5" hidden="false" customHeight="true" outlineLevel="0" collapsed="false">
      <c r="A455" s="11" t="n">
        <v>454</v>
      </c>
      <c r="B455" s="26"/>
      <c r="C455" s="12"/>
      <c r="D455" s="22" t="s">
        <v>48</v>
      </c>
      <c r="E455" s="19" t="n">
        <v>30</v>
      </c>
      <c r="F455" s="19"/>
      <c r="G455" s="19" t="s">
        <v>14</v>
      </c>
      <c r="H455" s="14" t="n">
        <v>150000</v>
      </c>
      <c r="I455" s="14" t="n">
        <v>120000</v>
      </c>
      <c r="J455" s="14" t="n">
        <f aca="false">E455*I455</f>
        <v>3600000</v>
      </c>
      <c r="K455" s="15" t="n">
        <f aca="false">H455*80%</f>
        <v>120000</v>
      </c>
      <c r="L455" s="0"/>
    </row>
    <row r="456" s="20" customFormat="true" ht="19.5" hidden="false" customHeight="true" outlineLevel="0" collapsed="false">
      <c r="A456" s="11" t="n">
        <v>455</v>
      </c>
      <c r="B456" s="26"/>
      <c r="C456" s="12"/>
      <c r="D456" s="22" t="s">
        <v>48</v>
      </c>
      <c r="E456" s="19" t="n">
        <v>20</v>
      </c>
      <c r="F456" s="19"/>
      <c r="G456" s="19" t="s">
        <v>14</v>
      </c>
      <c r="H456" s="14" t="n">
        <v>115000</v>
      </c>
      <c r="I456" s="14" t="n">
        <v>92000</v>
      </c>
      <c r="J456" s="14" t="n">
        <f aca="false">E456*I456</f>
        <v>1840000</v>
      </c>
      <c r="K456" s="15" t="n">
        <f aca="false">H456*80%</f>
        <v>92000</v>
      </c>
      <c r="L456" s="0"/>
    </row>
    <row r="457" s="20" customFormat="true" ht="19.5" hidden="false" customHeight="true" outlineLevel="0" collapsed="false">
      <c r="A457" s="11" t="n">
        <v>456</v>
      </c>
      <c r="B457" s="26"/>
      <c r="C457" s="12"/>
      <c r="D457" s="22" t="s">
        <v>48</v>
      </c>
      <c r="E457" s="19" t="n">
        <v>31</v>
      </c>
      <c r="F457" s="19"/>
      <c r="G457" s="19" t="s">
        <v>14</v>
      </c>
      <c r="H457" s="14" t="n">
        <v>190000</v>
      </c>
      <c r="I457" s="14" t="n">
        <v>152000</v>
      </c>
      <c r="J457" s="14" t="n">
        <f aca="false">E457*I457</f>
        <v>4712000</v>
      </c>
      <c r="K457" s="15" t="n">
        <f aca="false">H457*80%</f>
        <v>152000</v>
      </c>
      <c r="L457" s="0"/>
    </row>
    <row r="458" s="20" customFormat="true" ht="19.5" hidden="false" customHeight="true" outlineLevel="0" collapsed="false">
      <c r="A458" s="11" t="n">
        <v>457</v>
      </c>
      <c r="B458" s="26"/>
      <c r="C458" s="12"/>
      <c r="D458" s="22" t="s">
        <v>48</v>
      </c>
      <c r="E458" s="19" t="n">
        <v>20</v>
      </c>
      <c r="F458" s="19"/>
      <c r="G458" s="19" t="s">
        <v>14</v>
      </c>
      <c r="H458" s="14" t="n">
        <v>210000</v>
      </c>
      <c r="I458" s="14" t="n">
        <v>168000</v>
      </c>
      <c r="J458" s="14" t="n">
        <f aca="false">E458*I458</f>
        <v>3360000</v>
      </c>
      <c r="K458" s="15" t="n">
        <f aca="false">H458*80%</f>
        <v>168000</v>
      </c>
      <c r="L458" s="0"/>
    </row>
    <row r="459" s="20" customFormat="true" ht="19.5" hidden="false" customHeight="true" outlineLevel="0" collapsed="false">
      <c r="A459" s="11" t="n">
        <v>458</v>
      </c>
      <c r="B459" s="26"/>
      <c r="C459" s="12"/>
      <c r="D459" s="22" t="s">
        <v>48</v>
      </c>
      <c r="E459" s="19" t="n">
        <v>19</v>
      </c>
      <c r="F459" s="19"/>
      <c r="G459" s="19" t="s">
        <v>14</v>
      </c>
      <c r="H459" s="14" t="n">
        <v>145000</v>
      </c>
      <c r="I459" s="14" t="n">
        <v>116000</v>
      </c>
      <c r="J459" s="14" t="n">
        <f aca="false">E459*I459</f>
        <v>2204000</v>
      </c>
      <c r="K459" s="15" t="n">
        <f aca="false">H459*80%</f>
        <v>116000</v>
      </c>
      <c r="L459" s="0"/>
    </row>
    <row r="460" s="20" customFormat="true" ht="19.5" hidden="false" customHeight="true" outlineLevel="0" collapsed="false">
      <c r="A460" s="11" t="n">
        <v>459</v>
      </c>
      <c r="B460" s="26"/>
      <c r="C460" s="12"/>
      <c r="D460" s="22" t="s">
        <v>48</v>
      </c>
      <c r="E460" s="19" t="n">
        <v>20</v>
      </c>
      <c r="F460" s="19"/>
      <c r="G460" s="19" t="s">
        <v>14</v>
      </c>
      <c r="H460" s="14" t="n">
        <v>405000</v>
      </c>
      <c r="I460" s="14" t="n">
        <v>324000</v>
      </c>
      <c r="J460" s="14" t="n">
        <f aca="false">E460*I460</f>
        <v>6480000</v>
      </c>
      <c r="K460" s="15" t="n">
        <f aca="false">H460*80%</f>
        <v>324000</v>
      </c>
      <c r="L460" s="0"/>
    </row>
    <row r="461" s="20" customFormat="true" ht="19.5" hidden="false" customHeight="true" outlineLevel="0" collapsed="false">
      <c r="A461" s="11" t="n">
        <v>460</v>
      </c>
      <c r="B461" s="26"/>
      <c r="C461" s="12"/>
      <c r="D461" s="22" t="s">
        <v>48</v>
      </c>
      <c r="E461" s="19" t="n">
        <v>82</v>
      </c>
      <c r="F461" s="19"/>
      <c r="G461" s="19" t="s">
        <v>14</v>
      </c>
      <c r="H461" s="14" t="n">
        <v>85000</v>
      </c>
      <c r="I461" s="14" t="n">
        <v>68000</v>
      </c>
      <c r="J461" s="14" t="n">
        <f aca="false">E461*I461</f>
        <v>5576000</v>
      </c>
      <c r="K461" s="15" t="n">
        <f aca="false">H461*80%</f>
        <v>68000</v>
      </c>
      <c r="L461" s="0"/>
    </row>
    <row r="462" s="20" customFormat="true" ht="19.5" hidden="false" customHeight="true" outlineLevel="0" collapsed="false">
      <c r="A462" s="11" t="n">
        <v>461</v>
      </c>
      <c r="B462" s="26"/>
      <c r="C462" s="12"/>
      <c r="D462" s="22" t="s">
        <v>48</v>
      </c>
      <c r="E462" s="19" t="n">
        <v>42</v>
      </c>
      <c r="F462" s="19"/>
      <c r="G462" s="19" t="s">
        <v>14</v>
      </c>
      <c r="H462" s="14" t="n">
        <v>59000</v>
      </c>
      <c r="I462" s="14" t="n">
        <v>47200</v>
      </c>
      <c r="J462" s="14" t="n">
        <f aca="false">E462*I462</f>
        <v>1982400</v>
      </c>
      <c r="K462" s="15" t="n">
        <f aca="false">H462*80%</f>
        <v>47200</v>
      </c>
      <c r="L462" s="0"/>
    </row>
    <row r="463" s="20" customFormat="true" ht="19.5" hidden="false" customHeight="true" outlineLevel="0" collapsed="false">
      <c r="A463" s="11" t="n">
        <v>462</v>
      </c>
      <c r="B463" s="26"/>
      <c r="C463" s="12"/>
      <c r="D463" s="22" t="s">
        <v>48</v>
      </c>
      <c r="E463" s="19" t="n">
        <v>42</v>
      </c>
      <c r="F463" s="19"/>
      <c r="G463" s="19" t="s">
        <v>14</v>
      </c>
      <c r="H463" s="14" t="n">
        <v>55000</v>
      </c>
      <c r="I463" s="14" t="n">
        <v>44000</v>
      </c>
      <c r="J463" s="14" t="n">
        <f aca="false">E463*I463</f>
        <v>1848000</v>
      </c>
      <c r="K463" s="15" t="n">
        <f aca="false">H463*80%</f>
        <v>44000</v>
      </c>
      <c r="L463" s="0"/>
    </row>
    <row r="464" s="20" customFormat="true" ht="19.5" hidden="false" customHeight="true" outlineLevel="0" collapsed="false">
      <c r="A464" s="11" t="n">
        <v>463</v>
      </c>
      <c r="B464" s="26"/>
      <c r="C464" s="12"/>
      <c r="D464" s="22" t="s">
        <v>48</v>
      </c>
      <c r="E464" s="19" t="n">
        <v>42</v>
      </c>
      <c r="F464" s="19"/>
      <c r="G464" s="19" t="s">
        <v>14</v>
      </c>
      <c r="H464" s="14" t="n">
        <v>30000</v>
      </c>
      <c r="I464" s="14" t="n">
        <v>24000</v>
      </c>
      <c r="J464" s="14" t="n">
        <f aca="false">E464*I464</f>
        <v>1008000</v>
      </c>
      <c r="K464" s="15" t="n">
        <f aca="false">H464*80%</f>
        <v>24000</v>
      </c>
      <c r="L464" s="0"/>
    </row>
    <row r="465" s="20" customFormat="true" ht="19.5" hidden="false" customHeight="true" outlineLevel="0" collapsed="false">
      <c r="A465" s="11" t="n">
        <v>464</v>
      </c>
      <c r="B465" s="26"/>
      <c r="C465" s="12"/>
      <c r="D465" s="22" t="s">
        <v>48</v>
      </c>
      <c r="E465" s="19" t="n">
        <v>42</v>
      </c>
      <c r="F465" s="19"/>
      <c r="G465" s="19" t="s">
        <v>14</v>
      </c>
      <c r="H465" s="14" t="n">
        <v>58000</v>
      </c>
      <c r="I465" s="14" t="n">
        <v>46400</v>
      </c>
      <c r="J465" s="14" t="n">
        <f aca="false">E465*I465</f>
        <v>1948800</v>
      </c>
      <c r="K465" s="15" t="n">
        <f aca="false">H465*80%</f>
        <v>46400</v>
      </c>
      <c r="L465" s="0"/>
    </row>
    <row r="466" s="20" customFormat="true" ht="180" hidden="false" customHeight="true" outlineLevel="0" collapsed="false">
      <c r="A466" s="11" t="n">
        <v>465</v>
      </c>
      <c r="B466" s="26" t="s">
        <v>480</v>
      </c>
      <c r="C466" s="12" t="s">
        <v>666</v>
      </c>
      <c r="D466" s="22" t="s">
        <v>118</v>
      </c>
      <c r="E466" s="19" t="n">
        <v>8</v>
      </c>
      <c r="F466" s="19" t="s">
        <v>667</v>
      </c>
      <c r="G466" s="19" t="s">
        <v>14</v>
      </c>
      <c r="H466" s="19" t="n">
        <v>700000</v>
      </c>
      <c r="I466" s="14" t="n">
        <v>560000</v>
      </c>
      <c r="J466" s="14" t="n">
        <f aca="false">E466*I466</f>
        <v>4480000</v>
      </c>
      <c r="K466" s="15" t="n">
        <f aca="false">H466*80%</f>
        <v>560000</v>
      </c>
      <c r="L466" s="0"/>
    </row>
    <row r="467" customFormat="false" ht="121.5" hidden="false" customHeight="true" outlineLevel="0" collapsed="false">
      <c r="A467" s="11" t="n">
        <v>466</v>
      </c>
      <c r="B467" s="12" t="s">
        <v>668</v>
      </c>
      <c r="C467" s="12" t="s">
        <v>669</v>
      </c>
      <c r="D467" s="11" t="s">
        <v>118</v>
      </c>
      <c r="E467" s="13" t="n">
        <v>22</v>
      </c>
      <c r="F467" s="13" t="s">
        <v>670</v>
      </c>
      <c r="G467" s="13" t="s">
        <v>671</v>
      </c>
      <c r="H467" s="13" t="n">
        <v>140000</v>
      </c>
      <c r="I467" s="14" t="n">
        <v>112000</v>
      </c>
      <c r="J467" s="14" t="n">
        <f aca="false">E467*I467</f>
        <v>2464000</v>
      </c>
      <c r="K467" s="15" t="n">
        <f aca="false">H467*80%</f>
        <v>112000</v>
      </c>
    </row>
    <row r="468" s="44" customFormat="true" ht="26.85" hidden="false" customHeight="false" outlineLevel="0" collapsed="false">
      <c r="A468" s="11" t="n">
        <v>467</v>
      </c>
      <c r="B468" s="26" t="s">
        <v>672</v>
      </c>
      <c r="C468" s="18" t="s">
        <v>673</v>
      </c>
      <c r="D468" s="22" t="s">
        <v>110</v>
      </c>
      <c r="E468" s="19" t="n">
        <v>2</v>
      </c>
      <c r="F468" s="19" t="s">
        <v>674</v>
      </c>
      <c r="G468" s="19" t="s">
        <v>522</v>
      </c>
      <c r="H468" s="19" t="n">
        <v>650000</v>
      </c>
      <c r="I468" s="14" t="n">
        <v>520000</v>
      </c>
      <c r="J468" s="14" t="n">
        <f aca="false">E468*I468</f>
        <v>1040000</v>
      </c>
      <c r="K468" s="15" t="n">
        <f aca="false">H468*80%</f>
        <v>520000</v>
      </c>
      <c r="L468" s="0"/>
    </row>
    <row r="469" s="44" customFormat="true" ht="15.75" hidden="false" customHeight="false" outlineLevel="0" collapsed="false">
      <c r="A469" s="11" t="n">
        <v>468</v>
      </c>
      <c r="B469" s="18" t="s">
        <v>675</v>
      </c>
      <c r="C469" s="18"/>
      <c r="D469" s="22" t="s">
        <v>48</v>
      </c>
      <c r="E469" s="19" t="n">
        <v>2</v>
      </c>
      <c r="F469" s="19" t="s">
        <v>676</v>
      </c>
      <c r="G469" s="19" t="s">
        <v>522</v>
      </c>
      <c r="H469" s="19" t="n">
        <v>5300000</v>
      </c>
      <c r="I469" s="14" t="n">
        <v>4240000</v>
      </c>
      <c r="J469" s="14" t="n">
        <f aca="false">E469*I469</f>
        <v>8480000</v>
      </c>
      <c r="K469" s="15" t="n">
        <f aca="false">H469*80%</f>
        <v>4240000</v>
      </c>
      <c r="L469" s="0"/>
    </row>
    <row r="470" s="20" customFormat="true" ht="87" hidden="false" customHeight="true" outlineLevel="0" collapsed="false">
      <c r="A470" s="11" t="n">
        <v>469</v>
      </c>
      <c r="B470" s="26" t="s">
        <v>677</v>
      </c>
      <c r="C470" s="12" t="s">
        <v>678</v>
      </c>
      <c r="D470" s="22" t="s">
        <v>118</v>
      </c>
      <c r="E470" s="19" t="n">
        <v>12</v>
      </c>
      <c r="F470" s="19" t="s">
        <v>600</v>
      </c>
      <c r="G470" s="19" t="s">
        <v>58</v>
      </c>
      <c r="H470" s="19" t="n">
        <v>1355000</v>
      </c>
      <c r="I470" s="14" t="n">
        <v>1084000</v>
      </c>
      <c r="J470" s="14" t="n">
        <f aca="false">E470*I470</f>
        <v>13008000</v>
      </c>
      <c r="K470" s="15" t="n">
        <f aca="false">H470*80%</f>
        <v>1084000</v>
      </c>
      <c r="L470" s="0"/>
    </row>
    <row r="471" customFormat="false" ht="116.25" hidden="false" customHeight="true" outlineLevel="0" collapsed="false">
      <c r="A471" s="11" t="n">
        <v>470</v>
      </c>
      <c r="B471" s="12" t="s">
        <v>679</v>
      </c>
      <c r="C471" s="12" t="s">
        <v>680</v>
      </c>
      <c r="D471" s="11" t="s">
        <v>110</v>
      </c>
      <c r="E471" s="13" t="n">
        <v>5</v>
      </c>
      <c r="F471" s="13" t="s">
        <v>670</v>
      </c>
      <c r="G471" s="13" t="s">
        <v>671</v>
      </c>
      <c r="H471" s="13" t="n">
        <v>615000</v>
      </c>
      <c r="I471" s="14" t="n">
        <v>492000</v>
      </c>
      <c r="J471" s="14" t="n">
        <f aca="false">E471*I471</f>
        <v>2460000</v>
      </c>
      <c r="K471" s="15" t="n">
        <f aca="false">H471*80%</f>
        <v>492000</v>
      </c>
    </row>
    <row r="472" customFormat="false" ht="246.75" hidden="false" customHeight="true" outlineLevel="0" collapsed="false">
      <c r="A472" s="11" t="n">
        <v>471</v>
      </c>
      <c r="B472" s="12" t="s">
        <v>681</v>
      </c>
      <c r="C472" s="12" t="s">
        <v>682</v>
      </c>
      <c r="D472" s="11" t="s">
        <v>118</v>
      </c>
      <c r="E472" s="13" t="n">
        <v>5</v>
      </c>
      <c r="F472" s="13" t="s">
        <v>674</v>
      </c>
      <c r="G472" s="13" t="s">
        <v>522</v>
      </c>
      <c r="H472" s="13" t="n">
        <v>1550000</v>
      </c>
      <c r="I472" s="14" t="n">
        <v>1240000</v>
      </c>
      <c r="J472" s="14" t="n">
        <f aca="false">E472*I472</f>
        <v>6200000</v>
      </c>
      <c r="K472" s="15" t="n">
        <f aca="false">H472*80%</f>
        <v>1240000</v>
      </c>
    </row>
    <row r="473" customFormat="false" ht="77.25" hidden="false" customHeight="true" outlineLevel="0" collapsed="false">
      <c r="A473" s="11" t="n">
        <v>472</v>
      </c>
      <c r="B473" s="12" t="s">
        <v>683</v>
      </c>
      <c r="C473" s="12" t="s">
        <v>684</v>
      </c>
      <c r="D473" s="11" t="s">
        <v>110</v>
      </c>
      <c r="E473" s="13" t="n">
        <v>3</v>
      </c>
      <c r="F473" s="13" t="s">
        <v>670</v>
      </c>
      <c r="G473" s="13" t="s">
        <v>671</v>
      </c>
      <c r="H473" s="13" t="n">
        <v>832000</v>
      </c>
      <c r="I473" s="14" t="n">
        <v>665600</v>
      </c>
      <c r="J473" s="14" t="n">
        <f aca="false">E473*I473</f>
        <v>1996800</v>
      </c>
      <c r="K473" s="15" t="n">
        <f aca="false">H473*80%</f>
        <v>665600</v>
      </c>
    </row>
    <row r="474" s="44" customFormat="true" ht="129" hidden="false" customHeight="true" outlineLevel="0" collapsed="false">
      <c r="A474" s="11" t="n">
        <v>473</v>
      </c>
      <c r="B474" s="18" t="s">
        <v>685</v>
      </c>
      <c r="C474" s="18" t="s">
        <v>686</v>
      </c>
      <c r="D474" s="11" t="s">
        <v>118</v>
      </c>
      <c r="E474" s="19" t="n">
        <v>5</v>
      </c>
      <c r="F474" s="19" t="s">
        <v>674</v>
      </c>
      <c r="G474" s="19" t="s">
        <v>522</v>
      </c>
      <c r="H474" s="19" t="n">
        <v>1785000</v>
      </c>
      <c r="I474" s="14" t="n">
        <v>1428000</v>
      </c>
      <c r="J474" s="14" t="n">
        <f aca="false">E474*I474</f>
        <v>7140000</v>
      </c>
      <c r="K474" s="15" t="n">
        <f aca="false">H474*80%</f>
        <v>1428000</v>
      </c>
      <c r="L474" s="0"/>
    </row>
    <row r="475" s="44" customFormat="true" ht="113.25" hidden="false" customHeight="true" outlineLevel="0" collapsed="false">
      <c r="A475" s="11" t="n">
        <v>474</v>
      </c>
      <c r="B475" s="18" t="s">
        <v>687</v>
      </c>
      <c r="C475" s="18" t="s">
        <v>688</v>
      </c>
      <c r="D475" s="22" t="s">
        <v>48</v>
      </c>
      <c r="E475" s="19" t="n">
        <v>15</v>
      </c>
      <c r="F475" s="19" t="s">
        <v>600</v>
      </c>
      <c r="G475" s="19" t="s">
        <v>671</v>
      </c>
      <c r="H475" s="19" t="n">
        <v>310000</v>
      </c>
      <c r="I475" s="14" t="n">
        <v>248000</v>
      </c>
      <c r="J475" s="14" t="n">
        <f aca="false">E475*I475</f>
        <v>3720000</v>
      </c>
      <c r="K475" s="15" t="n">
        <f aca="false">H475*80%</f>
        <v>248000</v>
      </c>
      <c r="L475" s="0"/>
    </row>
    <row r="476" customFormat="false" ht="115.65" hidden="false" customHeight="false" outlineLevel="0" collapsed="false">
      <c r="A476" s="11" t="n">
        <v>475</v>
      </c>
      <c r="B476" s="12" t="s">
        <v>689</v>
      </c>
      <c r="C476" s="12" t="s">
        <v>690</v>
      </c>
      <c r="D476" s="11" t="s">
        <v>48</v>
      </c>
      <c r="E476" s="13" t="n">
        <v>15</v>
      </c>
      <c r="F476" s="13" t="s">
        <v>691</v>
      </c>
      <c r="G476" s="13" t="s">
        <v>522</v>
      </c>
      <c r="H476" s="13" t="n">
        <v>689000</v>
      </c>
      <c r="I476" s="14" t="n">
        <v>551200</v>
      </c>
      <c r="J476" s="14" t="n">
        <f aca="false">E476*I476</f>
        <v>8268000</v>
      </c>
      <c r="K476" s="15" t="n">
        <f aca="false">H476*80%</f>
        <v>551200</v>
      </c>
    </row>
    <row r="477" customFormat="false" ht="26.85" hidden="false" customHeight="false" outlineLevel="0" collapsed="false">
      <c r="A477" s="11" t="n">
        <v>476</v>
      </c>
      <c r="B477" s="12" t="s">
        <v>692</v>
      </c>
      <c r="C477" s="12" t="s">
        <v>693</v>
      </c>
      <c r="D477" s="11" t="s">
        <v>48</v>
      </c>
      <c r="E477" s="13" t="n">
        <v>22</v>
      </c>
      <c r="F477" s="13" t="s">
        <v>694</v>
      </c>
      <c r="G477" s="13" t="s">
        <v>14</v>
      </c>
      <c r="H477" s="13" t="n">
        <v>285000</v>
      </c>
      <c r="I477" s="14" t="n">
        <v>228000</v>
      </c>
      <c r="J477" s="14" t="n">
        <f aca="false">E477*I477</f>
        <v>5016000</v>
      </c>
      <c r="K477" s="15" t="n">
        <f aca="false">H477*80%</f>
        <v>228000</v>
      </c>
    </row>
    <row r="478" customFormat="false" ht="102.95" hidden="false" customHeight="false" outlineLevel="0" collapsed="false">
      <c r="A478" s="11" t="n">
        <v>477</v>
      </c>
      <c r="B478" s="12" t="s">
        <v>695</v>
      </c>
      <c r="C478" s="12" t="s">
        <v>696</v>
      </c>
      <c r="D478" s="11" t="s">
        <v>48</v>
      </c>
      <c r="E478" s="13" t="n">
        <v>10</v>
      </c>
      <c r="F478" s="13" t="s">
        <v>670</v>
      </c>
      <c r="G478" s="13" t="s">
        <v>671</v>
      </c>
      <c r="H478" s="13" t="n">
        <v>390000</v>
      </c>
      <c r="I478" s="14" t="n">
        <v>312000</v>
      </c>
      <c r="J478" s="14" t="n">
        <f aca="false">E478*I478</f>
        <v>3120000</v>
      </c>
      <c r="K478" s="15" t="n">
        <f aca="false">H478*80%</f>
        <v>312000</v>
      </c>
    </row>
    <row r="479" customFormat="false" ht="121.5" hidden="false" customHeight="true" outlineLevel="0" collapsed="false">
      <c r="A479" s="11" t="n">
        <v>478</v>
      </c>
      <c r="B479" s="12" t="s">
        <v>697</v>
      </c>
      <c r="C479" s="12" t="s">
        <v>698</v>
      </c>
      <c r="D479" s="11" t="s">
        <v>48</v>
      </c>
      <c r="E479" s="13" t="n">
        <v>30</v>
      </c>
      <c r="F479" s="13" t="s">
        <v>699</v>
      </c>
      <c r="G479" s="13" t="s">
        <v>522</v>
      </c>
      <c r="H479" s="13" t="n">
        <v>426000</v>
      </c>
      <c r="I479" s="14" t="n">
        <v>340800</v>
      </c>
      <c r="J479" s="14" t="n">
        <f aca="false">E479*I479</f>
        <v>10224000</v>
      </c>
      <c r="K479" s="15" t="n">
        <f aca="false">H479*80%</f>
        <v>340800</v>
      </c>
    </row>
    <row r="480" customFormat="false" ht="61.5" hidden="false" customHeight="true" outlineLevel="0" collapsed="false">
      <c r="A480" s="11" t="n">
        <v>479</v>
      </c>
      <c r="B480" s="12" t="s">
        <v>700</v>
      </c>
      <c r="C480" s="12" t="s">
        <v>701</v>
      </c>
      <c r="D480" s="11" t="s">
        <v>48</v>
      </c>
      <c r="E480" s="13" t="n">
        <v>10</v>
      </c>
      <c r="F480" s="13" t="s">
        <v>610</v>
      </c>
      <c r="G480" s="13" t="s">
        <v>377</v>
      </c>
      <c r="H480" s="13" t="n">
        <v>670000</v>
      </c>
      <c r="I480" s="14" t="n">
        <v>536000</v>
      </c>
      <c r="J480" s="14" t="n">
        <f aca="false">E480*I480</f>
        <v>5360000</v>
      </c>
      <c r="K480" s="15" t="n">
        <f aca="false">H480*80%</f>
        <v>536000</v>
      </c>
    </row>
    <row r="481" customFormat="false" ht="236.25" hidden="false" customHeight="true" outlineLevel="0" collapsed="false">
      <c r="A481" s="11" t="n">
        <v>480</v>
      </c>
      <c r="B481" s="12" t="s">
        <v>702</v>
      </c>
      <c r="C481" s="12" t="s">
        <v>703</v>
      </c>
      <c r="D481" s="11" t="s">
        <v>48</v>
      </c>
      <c r="E481" s="13" t="n">
        <v>12</v>
      </c>
      <c r="F481" s="13" t="s">
        <v>670</v>
      </c>
      <c r="G481" s="13" t="s">
        <v>671</v>
      </c>
      <c r="H481" s="13" t="n">
        <v>275000</v>
      </c>
      <c r="I481" s="14" t="n">
        <v>220000</v>
      </c>
      <c r="J481" s="14" t="n">
        <f aca="false">E481*I481</f>
        <v>2640000</v>
      </c>
      <c r="K481" s="15" t="n">
        <f aca="false">H481*80%</f>
        <v>220000</v>
      </c>
    </row>
    <row r="482" customFormat="false" ht="15.75" hidden="false" customHeight="true" outlineLevel="0" collapsed="false">
      <c r="A482" s="11" t="n">
        <v>481</v>
      </c>
      <c r="B482" s="12" t="s">
        <v>704</v>
      </c>
      <c r="C482" s="12" t="s">
        <v>705</v>
      </c>
      <c r="D482" s="11" t="s">
        <v>48</v>
      </c>
      <c r="E482" s="13" t="n">
        <v>2</v>
      </c>
      <c r="F482" s="13" t="s">
        <v>603</v>
      </c>
      <c r="G482" s="13" t="s">
        <v>671</v>
      </c>
      <c r="H482" s="13" t="n">
        <v>187000</v>
      </c>
      <c r="I482" s="14" t="n">
        <v>149600</v>
      </c>
      <c r="J482" s="14" t="n">
        <f aca="false">E482*I482</f>
        <v>299200</v>
      </c>
      <c r="K482" s="15" t="n">
        <f aca="false">H482*80%</f>
        <v>149600</v>
      </c>
    </row>
    <row r="483" s="44" customFormat="true" ht="15.75" hidden="false" customHeight="false" outlineLevel="0" collapsed="false">
      <c r="A483" s="11" t="n">
        <v>482</v>
      </c>
      <c r="B483" s="12" t="s">
        <v>706</v>
      </c>
      <c r="C483" s="18"/>
      <c r="D483" s="22" t="s">
        <v>707</v>
      </c>
      <c r="E483" s="19" t="n">
        <v>4</v>
      </c>
      <c r="F483" s="19" t="s">
        <v>600</v>
      </c>
      <c r="G483" s="19" t="s">
        <v>58</v>
      </c>
      <c r="H483" s="19" t="n">
        <v>1450000</v>
      </c>
      <c r="I483" s="14" t="n">
        <v>1160000</v>
      </c>
      <c r="J483" s="14" t="n">
        <f aca="false">E483*I483</f>
        <v>4640000</v>
      </c>
      <c r="K483" s="15" t="n">
        <f aca="false">H483*80%</f>
        <v>1160000</v>
      </c>
      <c r="L483" s="0"/>
    </row>
    <row r="484" s="44" customFormat="true" ht="15.75" hidden="false" customHeight="false" outlineLevel="0" collapsed="false">
      <c r="A484" s="11" t="n">
        <v>483</v>
      </c>
      <c r="B484" s="18" t="s">
        <v>708</v>
      </c>
      <c r="C484" s="18"/>
      <c r="D484" s="22" t="s">
        <v>118</v>
      </c>
      <c r="E484" s="19" t="n">
        <v>3</v>
      </c>
      <c r="F484" s="19" t="s">
        <v>670</v>
      </c>
      <c r="G484" s="19" t="s">
        <v>671</v>
      </c>
      <c r="H484" s="19" t="n">
        <v>812000</v>
      </c>
      <c r="I484" s="14" t="n">
        <v>649600</v>
      </c>
      <c r="J484" s="14" t="n">
        <f aca="false">E484*I484</f>
        <v>1948800</v>
      </c>
      <c r="K484" s="15" t="n">
        <f aca="false">H484*80%</f>
        <v>649600</v>
      </c>
      <c r="L484" s="0"/>
    </row>
    <row r="485" s="44" customFormat="true" ht="39.55" hidden="false" customHeight="false" outlineLevel="0" collapsed="false">
      <c r="A485" s="11" t="n">
        <v>484</v>
      </c>
      <c r="B485" s="18" t="s">
        <v>709</v>
      </c>
      <c r="C485" s="53" t="s">
        <v>710</v>
      </c>
      <c r="D485" s="11" t="s">
        <v>118</v>
      </c>
      <c r="E485" s="19" t="n">
        <v>4</v>
      </c>
      <c r="F485" s="19" t="s">
        <v>670</v>
      </c>
      <c r="G485" s="19" t="s">
        <v>671</v>
      </c>
      <c r="H485" s="19" t="n">
        <v>299000</v>
      </c>
      <c r="I485" s="14" t="n">
        <v>239200</v>
      </c>
      <c r="J485" s="14" t="n">
        <f aca="false">E485*I485</f>
        <v>956800</v>
      </c>
      <c r="K485" s="15" t="n">
        <f aca="false">H485*80%</f>
        <v>239200</v>
      </c>
      <c r="L485" s="0"/>
    </row>
    <row r="486" customFormat="false" ht="82.5" hidden="false" customHeight="true" outlineLevel="0" collapsed="false">
      <c r="A486" s="11" t="n">
        <v>485</v>
      </c>
      <c r="B486" s="18" t="s">
        <v>711</v>
      </c>
      <c r="C486" s="12" t="s">
        <v>712</v>
      </c>
      <c r="D486" s="22" t="s">
        <v>48</v>
      </c>
      <c r="E486" s="13" t="n">
        <v>10</v>
      </c>
      <c r="F486" s="13" t="s">
        <v>713</v>
      </c>
      <c r="G486" s="13" t="s">
        <v>671</v>
      </c>
      <c r="H486" s="13" t="n">
        <v>70000</v>
      </c>
      <c r="I486" s="14" t="n">
        <v>56000</v>
      </c>
      <c r="J486" s="14" t="n">
        <f aca="false">E486*I486</f>
        <v>560000</v>
      </c>
      <c r="K486" s="15" t="n">
        <f aca="false">H486*80%</f>
        <v>56000</v>
      </c>
    </row>
    <row r="487" customFormat="false" ht="126.75" hidden="false" customHeight="true" outlineLevel="0" collapsed="false">
      <c r="A487" s="11" t="n">
        <v>486</v>
      </c>
      <c r="B487" s="12" t="s">
        <v>714</v>
      </c>
      <c r="C487" s="12" t="s">
        <v>715</v>
      </c>
      <c r="D487" s="22" t="s">
        <v>48</v>
      </c>
      <c r="E487" s="13" t="n">
        <v>20</v>
      </c>
      <c r="F487" s="13" t="s">
        <v>716</v>
      </c>
      <c r="G487" s="13" t="s">
        <v>522</v>
      </c>
      <c r="H487" s="13" t="n">
        <v>99000</v>
      </c>
      <c r="I487" s="14" t="n">
        <v>79200</v>
      </c>
      <c r="J487" s="14" t="n">
        <f aca="false">E487*I487</f>
        <v>1584000</v>
      </c>
      <c r="K487" s="15" t="n">
        <f aca="false">H487*80%</f>
        <v>79200</v>
      </c>
    </row>
    <row r="488" s="20" customFormat="true" ht="19.5" hidden="false" customHeight="true" outlineLevel="0" collapsed="false">
      <c r="A488" s="11" t="n">
        <v>487</v>
      </c>
      <c r="B488" s="26" t="s">
        <v>717</v>
      </c>
      <c r="C488" s="12"/>
      <c r="D488" s="22" t="s">
        <v>48</v>
      </c>
      <c r="E488" s="19" t="n">
        <v>10</v>
      </c>
      <c r="F488" s="19" t="s">
        <v>718</v>
      </c>
      <c r="G488" s="19" t="s">
        <v>522</v>
      </c>
      <c r="H488" s="19" t="n">
        <v>78000</v>
      </c>
      <c r="I488" s="14" t="n">
        <v>62400</v>
      </c>
      <c r="J488" s="14" t="n">
        <f aca="false">E488*I488</f>
        <v>624000</v>
      </c>
      <c r="K488" s="15" t="n">
        <f aca="false">H488*80%</f>
        <v>62400</v>
      </c>
      <c r="L488" s="0"/>
    </row>
    <row r="489" s="20" customFormat="true" ht="19.5" hidden="false" customHeight="true" outlineLevel="0" collapsed="false">
      <c r="A489" s="11" t="n">
        <v>488</v>
      </c>
      <c r="B489" s="26"/>
      <c r="C489" s="12"/>
      <c r="D489" s="22" t="s">
        <v>48</v>
      </c>
      <c r="E489" s="19" t="n">
        <v>10</v>
      </c>
      <c r="F489" s="19" t="s">
        <v>716</v>
      </c>
      <c r="G489" s="19" t="s">
        <v>522</v>
      </c>
      <c r="H489" s="19" t="n">
        <v>80000</v>
      </c>
      <c r="I489" s="14" t="n">
        <v>64000</v>
      </c>
      <c r="J489" s="14" t="n">
        <f aca="false">E489*I489</f>
        <v>640000</v>
      </c>
      <c r="K489" s="15" t="n">
        <f aca="false">H489*80%</f>
        <v>64000</v>
      </c>
      <c r="L489" s="0"/>
    </row>
    <row r="490" s="20" customFormat="true" ht="15.75" hidden="false" customHeight="false" outlineLevel="0" collapsed="false">
      <c r="A490" s="11" t="n">
        <v>489</v>
      </c>
      <c r="B490" s="12" t="s">
        <v>719</v>
      </c>
      <c r="C490" s="18"/>
      <c r="D490" s="22" t="s">
        <v>118</v>
      </c>
      <c r="E490" s="19" t="n">
        <v>2</v>
      </c>
      <c r="F490" s="19" t="s">
        <v>720</v>
      </c>
      <c r="G490" s="19" t="s">
        <v>721</v>
      </c>
      <c r="H490" s="19" t="n">
        <v>825000</v>
      </c>
      <c r="I490" s="14" t="n">
        <v>660000</v>
      </c>
      <c r="J490" s="14" t="n">
        <f aca="false">E490*I490</f>
        <v>1320000</v>
      </c>
      <c r="K490" s="15" t="n">
        <f aca="false">H490*80%</f>
        <v>660000</v>
      </c>
      <c r="L490" s="0"/>
    </row>
    <row r="491" customFormat="false" ht="15.75" hidden="false" customHeight="true" outlineLevel="0" collapsed="false">
      <c r="A491" s="11" t="n">
        <v>490</v>
      </c>
      <c r="B491" s="12" t="s">
        <v>601</v>
      </c>
      <c r="C491" s="12" t="s">
        <v>602</v>
      </c>
      <c r="D491" s="11" t="s">
        <v>48</v>
      </c>
      <c r="E491" s="13" t="n">
        <v>2</v>
      </c>
      <c r="F491" s="19" t="s">
        <v>603</v>
      </c>
      <c r="G491" s="19" t="s">
        <v>58</v>
      </c>
      <c r="H491" s="19" t="n">
        <v>235000</v>
      </c>
      <c r="I491" s="14" t="n">
        <v>188000</v>
      </c>
      <c r="J491" s="14" t="n">
        <f aca="false">E491*I491</f>
        <v>376000</v>
      </c>
      <c r="K491" s="15" t="n">
        <f aca="false">H491*80%</f>
        <v>188000</v>
      </c>
    </row>
    <row r="492" customFormat="false" ht="56.25" hidden="false" customHeight="true" outlineLevel="0" collapsed="false">
      <c r="A492" s="11" t="n">
        <v>491</v>
      </c>
      <c r="B492" s="12" t="s">
        <v>722</v>
      </c>
      <c r="C492" s="12" t="s">
        <v>723</v>
      </c>
      <c r="D492" s="11" t="s">
        <v>46</v>
      </c>
      <c r="E492" s="13" t="n">
        <v>5</v>
      </c>
      <c r="F492" s="13" t="s">
        <v>600</v>
      </c>
      <c r="G492" s="13" t="s">
        <v>671</v>
      </c>
      <c r="H492" s="13" t="n">
        <v>135000</v>
      </c>
      <c r="I492" s="14" t="n">
        <v>108000</v>
      </c>
      <c r="J492" s="14" t="n">
        <f aca="false">E492*I492</f>
        <v>540000</v>
      </c>
      <c r="K492" s="15" t="n">
        <f aca="false">H492*80%</f>
        <v>108000</v>
      </c>
    </row>
    <row r="493" customFormat="false" ht="105" hidden="false" customHeight="true" outlineLevel="0" collapsed="false">
      <c r="A493" s="11" t="n">
        <v>492</v>
      </c>
      <c r="B493" s="12" t="s">
        <v>724</v>
      </c>
      <c r="C493" s="12" t="s">
        <v>725</v>
      </c>
      <c r="D493" s="11" t="s">
        <v>110</v>
      </c>
      <c r="E493" s="13" t="n">
        <v>5</v>
      </c>
      <c r="F493" s="13" t="s">
        <v>726</v>
      </c>
      <c r="G493" s="13" t="s">
        <v>671</v>
      </c>
      <c r="H493" s="13" t="n">
        <v>85000</v>
      </c>
      <c r="I493" s="14" t="n">
        <v>68000</v>
      </c>
      <c r="J493" s="14" t="n">
        <f aca="false">E493*I493</f>
        <v>340000</v>
      </c>
      <c r="K493" s="15" t="n">
        <f aca="false">H493*80%</f>
        <v>68000</v>
      </c>
    </row>
    <row r="494" customFormat="false" ht="138" hidden="false" customHeight="true" outlineLevel="0" collapsed="false">
      <c r="A494" s="11" t="n">
        <v>493</v>
      </c>
      <c r="B494" s="18" t="s">
        <v>727</v>
      </c>
      <c r="C494" s="12" t="s">
        <v>728</v>
      </c>
      <c r="D494" s="11" t="s">
        <v>46</v>
      </c>
      <c r="E494" s="13" t="n">
        <v>1</v>
      </c>
      <c r="F494" s="13" t="s">
        <v>729</v>
      </c>
      <c r="G494" s="13" t="s">
        <v>58</v>
      </c>
      <c r="H494" s="13" t="n">
        <v>3800000</v>
      </c>
      <c r="I494" s="14" t="n">
        <v>3450000</v>
      </c>
      <c r="J494" s="14" t="n">
        <f aca="false">E494*I494</f>
        <v>3450000</v>
      </c>
      <c r="K494" s="15" t="n">
        <f aca="false">H494*80%</f>
        <v>3040000</v>
      </c>
    </row>
    <row r="495" customFormat="false" ht="180" hidden="false" customHeight="true" outlineLevel="0" collapsed="false">
      <c r="A495" s="11" t="n">
        <v>494</v>
      </c>
      <c r="B495" s="12" t="s">
        <v>730</v>
      </c>
      <c r="C495" s="12" t="s">
        <v>731</v>
      </c>
      <c r="D495" s="11" t="s">
        <v>48</v>
      </c>
      <c r="E495" s="13" t="n">
        <v>2</v>
      </c>
      <c r="F495" s="13" t="s">
        <v>729</v>
      </c>
      <c r="G495" s="13" t="s">
        <v>58</v>
      </c>
      <c r="H495" s="13" t="n">
        <v>1850000</v>
      </c>
      <c r="I495" s="14" t="n">
        <v>1550000</v>
      </c>
      <c r="J495" s="14" t="n">
        <f aca="false">E495*I495</f>
        <v>3100000</v>
      </c>
      <c r="K495" s="15" t="n">
        <f aca="false">H495*80%</f>
        <v>1480000</v>
      </c>
    </row>
    <row r="496" customFormat="false" ht="147" hidden="false" customHeight="true" outlineLevel="0" collapsed="false">
      <c r="A496" s="11" t="n">
        <v>495</v>
      </c>
      <c r="B496" s="12" t="s">
        <v>732</v>
      </c>
      <c r="C496" s="12" t="s">
        <v>733</v>
      </c>
      <c r="D496" s="11" t="s">
        <v>48</v>
      </c>
      <c r="E496" s="13" t="n">
        <v>2</v>
      </c>
      <c r="F496" s="13" t="s">
        <v>39</v>
      </c>
      <c r="G496" s="13" t="s">
        <v>58</v>
      </c>
      <c r="H496" s="13" t="n">
        <v>210000</v>
      </c>
      <c r="I496" s="14" t="n">
        <v>500000</v>
      </c>
      <c r="J496" s="14" t="n">
        <f aca="false">E496*I496</f>
        <v>1000000</v>
      </c>
      <c r="K496" s="15" t="n">
        <f aca="false">H496*80%</f>
        <v>168000</v>
      </c>
    </row>
    <row r="497" customFormat="false" ht="261" hidden="false" customHeight="true" outlineLevel="0" collapsed="false">
      <c r="A497" s="11" t="n">
        <v>496</v>
      </c>
      <c r="B497" s="12" t="s">
        <v>734</v>
      </c>
      <c r="C497" s="12" t="s">
        <v>735</v>
      </c>
      <c r="D497" s="11" t="s">
        <v>118</v>
      </c>
      <c r="E497" s="13" t="n">
        <v>3</v>
      </c>
      <c r="F497" s="13" t="s">
        <v>729</v>
      </c>
      <c r="G497" s="13" t="s">
        <v>736</v>
      </c>
      <c r="H497" s="13" t="n">
        <v>3855000</v>
      </c>
      <c r="I497" s="14" t="n">
        <v>3084000</v>
      </c>
      <c r="J497" s="14" t="n">
        <f aca="false">E497*I497</f>
        <v>9252000</v>
      </c>
      <c r="K497" s="15" t="n">
        <f aca="false">H497*80%</f>
        <v>3084000</v>
      </c>
    </row>
    <row r="498" customFormat="false" ht="102.75" hidden="false" customHeight="true" outlineLevel="0" collapsed="false">
      <c r="A498" s="11" t="n">
        <v>497</v>
      </c>
      <c r="B498" s="12" t="s">
        <v>737</v>
      </c>
      <c r="C498" s="12" t="s">
        <v>738</v>
      </c>
      <c r="D498" s="11" t="s">
        <v>46</v>
      </c>
      <c r="E498" s="13" t="n">
        <v>7</v>
      </c>
      <c r="F498" s="13" t="s">
        <v>739</v>
      </c>
      <c r="G498" s="13" t="s">
        <v>113</v>
      </c>
      <c r="H498" s="13" t="n">
        <v>2850000</v>
      </c>
      <c r="I498" s="14" t="n">
        <v>2450000</v>
      </c>
      <c r="J498" s="14" t="n">
        <f aca="false">E498*I498</f>
        <v>17150000</v>
      </c>
      <c r="K498" s="15" t="n">
        <f aca="false">H498*80%</f>
        <v>2280000</v>
      </c>
    </row>
    <row r="499" customFormat="false" ht="144.75" hidden="false" customHeight="true" outlineLevel="0" collapsed="false">
      <c r="A499" s="11" t="n">
        <v>498</v>
      </c>
      <c r="B499" s="12" t="s">
        <v>740</v>
      </c>
      <c r="C499" s="12" t="s">
        <v>741</v>
      </c>
      <c r="D499" s="11" t="s">
        <v>46</v>
      </c>
      <c r="E499" s="13" t="n">
        <v>2</v>
      </c>
      <c r="F499" s="13" t="s">
        <v>739</v>
      </c>
      <c r="G499" s="13" t="s">
        <v>113</v>
      </c>
      <c r="H499" s="13" t="n">
        <v>1399000</v>
      </c>
      <c r="I499" s="14" t="n">
        <v>1250000</v>
      </c>
      <c r="J499" s="14" t="n">
        <f aca="false">E499*I499</f>
        <v>2500000</v>
      </c>
      <c r="K499" s="15" t="n">
        <f aca="false">H499*80%</f>
        <v>1119200</v>
      </c>
    </row>
    <row r="500" s="20" customFormat="true" ht="208.5" hidden="false" customHeight="true" outlineLevel="0" collapsed="false">
      <c r="A500" s="11" t="n">
        <v>499</v>
      </c>
      <c r="B500" s="27" t="s">
        <v>742</v>
      </c>
      <c r="C500" s="12" t="s">
        <v>743</v>
      </c>
      <c r="D500" s="22" t="s">
        <v>118</v>
      </c>
      <c r="E500" s="19" t="n">
        <v>1</v>
      </c>
      <c r="F500" s="19" t="s">
        <v>603</v>
      </c>
      <c r="G500" s="19" t="s">
        <v>58</v>
      </c>
      <c r="H500" s="19" t="n">
        <v>418000</v>
      </c>
      <c r="I500" s="14" t="n">
        <v>350000</v>
      </c>
      <c r="J500" s="14" t="n">
        <f aca="false">E500*I500</f>
        <v>350000</v>
      </c>
      <c r="K500" s="15" t="n">
        <f aca="false">H500*80%</f>
        <v>334400</v>
      </c>
      <c r="L500" s="0"/>
    </row>
    <row r="501" s="20" customFormat="true" ht="165.75" hidden="false" customHeight="true" outlineLevel="0" collapsed="false">
      <c r="A501" s="11" t="n">
        <v>500</v>
      </c>
      <c r="B501" s="26" t="s">
        <v>744</v>
      </c>
      <c r="C501" s="12" t="s">
        <v>745</v>
      </c>
      <c r="D501" s="22" t="s">
        <v>48</v>
      </c>
      <c r="E501" s="19" t="n">
        <v>10</v>
      </c>
      <c r="F501" s="19" t="s">
        <v>729</v>
      </c>
      <c r="G501" s="19" t="s">
        <v>58</v>
      </c>
      <c r="H501" s="19" t="n">
        <v>60000</v>
      </c>
      <c r="I501" s="14" t="n">
        <v>50000</v>
      </c>
      <c r="J501" s="14" t="n">
        <f aca="false">E501*I501</f>
        <v>500000</v>
      </c>
      <c r="K501" s="15" t="n">
        <f aca="false">H501*80%</f>
        <v>48000</v>
      </c>
      <c r="L501" s="0"/>
    </row>
    <row r="502" s="20" customFormat="true" ht="30" hidden="false" customHeight="true" outlineLevel="0" collapsed="false">
      <c r="A502" s="11" t="n">
        <v>501</v>
      </c>
      <c r="B502" s="26" t="s">
        <v>746</v>
      </c>
      <c r="C502" s="12"/>
      <c r="D502" s="22" t="s">
        <v>118</v>
      </c>
      <c r="E502" s="19" t="n">
        <v>5</v>
      </c>
      <c r="F502" s="19" t="s">
        <v>39</v>
      </c>
      <c r="G502" s="19" t="s">
        <v>14</v>
      </c>
      <c r="H502" s="19" t="n">
        <v>1000000</v>
      </c>
      <c r="I502" s="14" t="n">
        <v>800000</v>
      </c>
      <c r="J502" s="14" t="n">
        <f aca="false">E502*I502</f>
        <v>4000000</v>
      </c>
      <c r="K502" s="15" t="n">
        <f aca="false">H502*80%</f>
        <v>800000</v>
      </c>
      <c r="L502" s="0"/>
    </row>
    <row r="503" customFormat="false" ht="15.75" hidden="false" customHeight="true" outlineLevel="0" collapsed="false">
      <c r="A503" s="11" t="n">
        <v>502</v>
      </c>
      <c r="B503" s="12" t="s">
        <v>747</v>
      </c>
      <c r="C503" s="12" t="s">
        <v>748</v>
      </c>
      <c r="D503" s="11" t="s">
        <v>48</v>
      </c>
      <c r="E503" s="13" t="n">
        <v>35</v>
      </c>
      <c r="F503" s="13" t="s">
        <v>749</v>
      </c>
      <c r="G503" s="13" t="s">
        <v>113</v>
      </c>
      <c r="H503" s="13" t="n">
        <v>225000</v>
      </c>
      <c r="I503" s="14" t="n">
        <v>180000</v>
      </c>
      <c r="J503" s="14" t="n">
        <f aca="false">E503*I503</f>
        <v>6300000</v>
      </c>
      <c r="K503" s="15" t="n">
        <f aca="false">H503*80%</f>
        <v>180000</v>
      </c>
    </row>
    <row r="504" customFormat="false" ht="132" hidden="false" customHeight="true" outlineLevel="0" collapsed="false">
      <c r="A504" s="11" t="n">
        <v>503</v>
      </c>
      <c r="B504" s="12" t="s">
        <v>750</v>
      </c>
      <c r="C504" s="12" t="s">
        <v>751</v>
      </c>
      <c r="D504" s="11" t="s">
        <v>48</v>
      </c>
      <c r="E504" s="13" t="n">
        <v>10</v>
      </c>
      <c r="F504" s="13" t="s">
        <v>600</v>
      </c>
      <c r="G504" s="13" t="s">
        <v>58</v>
      </c>
      <c r="H504" s="13" t="n">
        <v>115000</v>
      </c>
      <c r="I504" s="14" t="n">
        <v>92000</v>
      </c>
      <c r="J504" s="14" t="n">
        <f aca="false">E504*I504</f>
        <v>920000</v>
      </c>
      <c r="K504" s="15" t="n">
        <f aca="false">H504*80%</f>
        <v>92000</v>
      </c>
    </row>
    <row r="505" customFormat="false" ht="141" hidden="false" customHeight="true" outlineLevel="0" collapsed="false">
      <c r="A505" s="11" t="n">
        <v>504</v>
      </c>
      <c r="B505" s="12" t="s">
        <v>752</v>
      </c>
      <c r="C505" s="12" t="s">
        <v>753</v>
      </c>
      <c r="D505" s="11" t="s">
        <v>48</v>
      </c>
      <c r="E505" s="13" t="n">
        <v>5</v>
      </c>
      <c r="F505" s="13" t="s">
        <v>754</v>
      </c>
      <c r="G505" s="13" t="s">
        <v>113</v>
      </c>
      <c r="H505" s="13" t="n">
        <v>235000</v>
      </c>
      <c r="I505" s="14" t="n">
        <v>188000</v>
      </c>
      <c r="J505" s="14" t="n">
        <f aca="false">E505*I505</f>
        <v>940000</v>
      </c>
      <c r="K505" s="15" t="n">
        <f aca="false">H505*80%</f>
        <v>188000</v>
      </c>
    </row>
    <row r="506" customFormat="false" ht="15.75" hidden="false" customHeight="true" outlineLevel="0" collapsed="false">
      <c r="A506" s="11" t="n">
        <v>505</v>
      </c>
      <c r="B506" s="12" t="s">
        <v>755</v>
      </c>
      <c r="C506" s="12"/>
      <c r="D506" s="11" t="s">
        <v>48</v>
      </c>
      <c r="E506" s="13" t="n">
        <v>15</v>
      </c>
      <c r="F506" s="13" t="s">
        <v>603</v>
      </c>
      <c r="G506" s="13" t="s">
        <v>58</v>
      </c>
      <c r="H506" s="13" t="n">
        <v>160000</v>
      </c>
      <c r="I506" s="14" t="n">
        <v>128000</v>
      </c>
      <c r="J506" s="14" t="n">
        <f aca="false">E506*I506</f>
        <v>1920000</v>
      </c>
      <c r="K506" s="15" t="n">
        <f aca="false">H506*80%</f>
        <v>128000</v>
      </c>
    </row>
    <row r="507" customFormat="false" ht="15.75" hidden="false" customHeight="true" outlineLevel="0" collapsed="false">
      <c r="A507" s="11" t="n">
        <v>506</v>
      </c>
      <c r="B507" s="12" t="s">
        <v>756</v>
      </c>
      <c r="C507" s="12" t="s">
        <v>757</v>
      </c>
      <c r="D507" s="11" t="s">
        <v>46</v>
      </c>
      <c r="E507" s="13" t="n">
        <v>5</v>
      </c>
      <c r="F507" s="13" t="s">
        <v>160</v>
      </c>
      <c r="G507" s="13" t="s">
        <v>58</v>
      </c>
      <c r="H507" s="13" t="n">
        <v>199000</v>
      </c>
      <c r="I507" s="14" t="n">
        <v>159200</v>
      </c>
      <c r="J507" s="14" t="n">
        <f aca="false">E507*I507</f>
        <v>796000</v>
      </c>
      <c r="K507" s="15" t="n">
        <f aca="false">H507*80%</f>
        <v>159200</v>
      </c>
    </row>
    <row r="508" s="20" customFormat="true" ht="118.5" hidden="false" customHeight="true" outlineLevel="0" collapsed="false">
      <c r="A508" s="11" t="n">
        <v>507</v>
      </c>
      <c r="B508" s="18" t="s">
        <v>758</v>
      </c>
      <c r="C508" s="18" t="s">
        <v>759</v>
      </c>
      <c r="D508" s="22" t="s">
        <v>48</v>
      </c>
      <c r="E508" s="19" t="n">
        <v>18</v>
      </c>
      <c r="F508" s="19" t="s">
        <v>760</v>
      </c>
      <c r="G508" s="19" t="s">
        <v>58</v>
      </c>
      <c r="H508" s="19" t="n">
        <v>700000</v>
      </c>
      <c r="I508" s="14" t="n">
        <v>600000</v>
      </c>
      <c r="J508" s="14" t="n">
        <f aca="false">E508*I508</f>
        <v>10800000</v>
      </c>
      <c r="K508" s="15" t="n">
        <f aca="false">H508*80%</f>
        <v>560000</v>
      </c>
      <c r="L508" s="0"/>
    </row>
    <row r="509" customFormat="false" ht="91.5" hidden="false" customHeight="true" outlineLevel="0" collapsed="false">
      <c r="A509" s="11" t="n">
        <v>508</v>
      </c>
      <c r="B509" s="12" t="s">
        <v>761</v>
      </c>
      <c r="C509" s="12" t="s">
        <v>762</v>
      </c>
      <c r="D509" s="11" t="s">
        <v>48</v>
      </c>
      <c r="E509" s="13" t="n">
        <v>4</v>
      </c>
      <c r="F509" s="13" t="s">
        <v>763</v>
      </c>
      <c r="G509" s="13" t="s">
        <v>113</v>
      </c>
      <c r="H509" s="13" t="n">
        <v>5812000</v>
      </c>
      <c r="I509" s="14" t="n">
        <v>4700000</v>
      </c>
      <c r="J509" s="14" t="n">
        <f aca="false">E509*I509</f>
        <v>18800000</v>
      </c>
      <c r="K509" s="15" t="n">
        <f aca="false">H509*80%</f>
        <v>4649600</v>
      </c>
    </row>
    <row r="510" customFormat="false" ht="111.75" hidden="false" customHeight="true" outlineLevel="0" collapsed="false">
      <c r="A510" s="11" t="n">
        <v>509</v>
      </c>
      <c r="B510" s="12" t="s">
        <v>764</v>
      </c>
      <c r="C510" s="12" t="s">
        <v>765</v>
      </c>
      <c r="D510" s="11" t="s">
        <v>46</v>
      </c>
      <c r="E510" s="13" t="n">
        <v>8</v>
      </c>
      <c r="F510" s="13" t="s">
        <v>766</v>
      </c>
      <c r="G510" s="13" t="s">
        <v>113</v>
      </c>
      <c r="H510" s="13" t="n">
        <v>1713000</v>
      </c>
      <c r="I510" s="14" t="n">
        <v>1370400</v>
      </c>
      <c r="J510" s="14" t="n">
        <f aca="false">E510*I510</f>
        <v>10963200</v>
      </c>
      <c r="K510" s="15" t="n">
        <f aca="false">H510*80%</f>
        <v>1370400</v>
      </c>
    </row>
    <row r="511" customFormat="false" ht="123" hidden="false" customHeight="true" outlineLevel="0" collapsed="false">
      <c r="A511" s="11" t="n">
        <v>510</v>
      </c>
      <c r="B511" s="12" t="s">
        <v>767</v>
      </c>
      <c r="C511" s="12" t="s">
        <v>768</v>
      </c>
      <c r="D511" s="11" t="s">
        <v>48</v>
      </c>
      <c r="E511" s="13" t="n">
        <v>6</v>
      </c>
      <c r="F511" s="13" t="s">
        <v>769</v>
      </c>
      <c r="G511" s="13" t="s">
        <v>770</v>
      </c>
      <c r="H511" s="13" t="n">
        <v>325000</v>
      </c>
      <c r="I511" s="14" t="n">
        <v>305000</v>
      </c>
      <c r="J511" s="14" t="n">
        <f aca="false">E511*I511</f>
        <v>1830000</v>
      </c>
      <c r="K511" s="15" t="n">
        <f aca="false">H511*80%</f>
        <v>260000</v>
      </c>
    </row>
    <row r="512" customFormat="false" ht="165.75" hidden="false" customHeight="true" outlineLevel="0" collapsed="false">
      <c r="A512" s="11" t="n">
        <v>511</v>
      </c>
      <c r="B512" s="12" t="s">
        <v>771</v>
      </c>
      <c r="C512" s="12" t="s">
        <v>772</v>
      </c>
      <c r="D512" s="11" t="s">
        <v>48</v>
      </c>
      <c r="E512" s="13" t="n">
        <v>6</v>
      </c>
      <c r="F512" s="13" t="s">
        <v>769</v>
      </c>
      <c r="G512" s="13" t="s">
        <v>770</v>
      </c>
      <c r="H512" s="13" t="n">
        <v>305000</v>
      </c>
      <c r="I512" s="14" t="n">
        <v>305000</v>
      </c>
      <c r="J512" s="14" t="n">
        <f aca="false">E512*I512</f>
        <v>1830000</v>
      </c>
      <c r="K512" s="15" t="n">
        <f aca="false">H512*80%</f>
        <v>244000</v>
      </c>
    </row>
    <row r="513" customFormat="false" ht="128.35" hidden="false" customHeight="false" outlineLevel="0" collapsed="false">
      <c r="A513" s="11" t="n">
        <v>512</v>
      </c>
      <c r="B513" s="12" t="s">
        <v>773</v>
      </c>
      <c r="C513" s="12" t="s">
        <v>774</v>
      </c>
      <c r="D513" s="11" t="s">
        <v>48</v>
      </c>
      <c r="E513" s="13" t="n">
        <v>24</v>
      </c>
      <c r="F513" s="13" t="s">
        <v>763</v>
      </c>
      <c r="G513" s="13" t="s">
        <v>113</v>
      </c>
      <c r="H513" s="13" t="n">
        <v>950000</v>
      </c>
      <c r="I513" s="14" t="n">
        <v>950000</v>
      </c>
      <c r="J513" s="14" t="n">
        <f aca="false">E513*I513</f>
        <v>22800000</v>
      </c>
      <c r="K513" s="15" t="n">
        <f aca="false">H513*80%</f>
        <v>760000</v>
      </c>
    </row>
    <row r="514" s="20" customFormat="true" ht="135.75" hidden="false" customHeight="true" outlineLevel="0" collapsed="false">
      <c r="A514" s="11" t="n">
        <v>513</v>
      </c>
      <c r="B514" s="26" t="s">
        <v>775</v>
      </c>
      <c r="C514" s="12" t="s">
        <v>776</v>
      </c>
      <c r="D514" s="22" t="s">
        <v>118</v>
      </c>
      <c r="E514" s="19" t="n">
        <v>4</v>
      </c>
      <c r="F514" s="19" t="s">
        <v>591</v>
      </c>
      <c r="G514" s="19" t="s">
        <v>113</v>
      </c>
      <c r="H514" s="14" t="n">
        <v>1287000</v>
      </c>
      <c r="I514" s="14" t="n">
        <v>1100000</v>
      </c>
      <c r="J514" s="14" t="n">
        <f aca="false">E514*I514</f>
        <v>4400000</v>
      </c>
      <c r="K514" s="15" t="n">
        <f aca="false">H514*80%</f>
        <v>1029600</v>
      </c>
      <c r="L514" s="0"/>
    </row>
    <row r="515" s="44" customFormat="true" ht="69.75" hidden="false" customHeight="true" outlineLevel="0" collapsed="false">
      <c r="A515" s="11" t="n">
        <v>514</v>
      </c>
      <c r="B515" s="26" t="s">
        <v>777</v>
      </c>
      <c r="C515" s="18" t="s">
        <v>778</v>
      </c>
      <c r="D515" s="22" t="s">
        <v>118</v>
      </c>
      <c r="E515" s="19" t="n">
        <v>2</v>
      </c>
      <c r="F515" s="19" t="s">
        <v>591</v>
      </c>
      <c r="G515" s="19" t="s">
        <v>113</v>
      </c>
      <c r="H515" s="19" t="n">
        <v>3356000</v>
      </c>
      <c r="I515" s="14" t="n">
        <v>2684800</v>
      </c>
      <c r="J515" s="14" t="n">
        <f aca="false">E515*I515</f>
        <v>5369600</v>
      </c>
      <c r="K515" s="15" t="n">
        <f aca="false">H515*80%</f>
        <v>2684800</v>
      </c>
      <c r="L515" s="0"/>
    </row>
    <row r="516" s="20" customFormat="true" ht="52.2" hidden="false" customHeight="false" outlineLevel="0" collapsed="false">
      <c r="A516" s="11" t="n">
        <v>515</v>
      </c>
      <c r="B516" s="26" t="s">
        <v>779</v>
      </c>
      <c r="C516" s="12" t="s">
        <v>780</v>
      </c>
      <c r="D516" s="22" t="s">
        <v>48</v>
      </c>
      <c r="E516" s="19" t="n">
        <v>20</v>
      </c>
      <c r="F516" s="19" t="s">
        <v>591</v>
      </c>
      <c r="G516" s="19" t="s">
        <v>113</v>
      </c>
      <c r="H516" s="19" t="n">
        <v>836000</v>
      </c>
      <c r="I516" s="14" t="n">
        <v>668800</v>
      </c>
      <c r="J516" s="14" t="n">
        <f aca="false">E516*I516</f>
        <v>13376000</v>
      </c>
      <c r="K516" s="15" t="n">
        <f aca="false">H516*80%</f>
        <v>668800</v>
      </c>
      <c r="L516" s="0"/>
    </row>
    <row r="517" s="20" customFormat="true" ht="52.2" hidden="false" customHeight="false" outlineLevel="0" collapsed="false">
      <c r="A517" s="11" t="n">
        <v>516</v>
      </c>
      <c r="B517" s="26"/>
      <c r="C517" s="12" t="s">
        <v>781</v>
      </c>
      <c r="D517" s="22" t="s">
        <v>48</v>
      </c>
      <c r="E517" s="19" t="n">
        <v>4</v>
      </c>
      <c r="F517" s="19" t="s">
        <v>591</v>
      </c>
      <c r="G517" s="19" t="s">
        <v>113</v>
      </c>
      <c r="H517" s="19" t="n">
        <v>875000</v>
      </c>
      <c r="I517" s="14" t="n">
        <v>875000</v>
      </c>
      <c r="J517" s="14" t="n">
        <f aca="false">E517*I517</f>
        <v>3500000</v>
      </c>
      <c r="K517" s="15" t="n">
        <f aca="false">H517*80%</f>
        <v>700000</v>
      </c>
      <c r="L517" s="0"/>
    </row>
    <row r="518" s="20" customFormat="true" ht="93.75" hidden="false" customHeight="true" outlineLevel="0" collapsed="false">
      <c r="A518" s="11" t="n">
        <v>517</v>
      </c>
      <c r="B518" s="26" t="s">
        <v>782</v>
      </c>
      <c r="C518" s="12" t="s">
        <v>783</v>
      </c>
      <c r="D518" s="22" t="s">
        <v>48</v>
      </c>
      <c r="E518" s="19" t="n">
        <v>17</v>
      </c>
      <c r="F518" s="19" t="s">
        <v>591</v>
      </c>
      <c r="G518" s="19" t="s">
        <v>113</v>
      </c>
      <c r="H518" s="19" t="n">
        <v>2654000</v>
      </c>
      <c r="I518" s="14" t="n">
        <v>2123200</v>
      </c>
      <c r="J518" s="14" t="n">
        <f aca="false">E518*I518</f>
        <v>36094400</v>
      </c>
      <c r="K518" s="15" t="n">
        <f aca="false">H518*80%</f>
        <v>2123200</v>
      </c>
      <c r="L518" s="0"/>
    </row>
    <row r="519" s="20" customFormat="true" ht="142.5" hidden="false" customHeight="true" outlineLevel="0" collapsed="false">
      <c r="A519" s="11" t="n">
        <v>518</v>
      </c>
      <c r="B519" s="26" t="s">
        <v>784</v>
      </c>
      <c r="C519" s="12" t="s">
        <v>751</v>
      </c>
      <c r="D519" s="11" t="s">
        <v>48</v>
      </c>
      <c r="E519" s="13" t="n">
        <v>10</v>
      </c>
      <c r="F519" s="13" t="s">
        <v>600</v>
      </c>
      <c r="G519" s="13" t="s">
        <v>58</v>
      </c>
      <c r="H519" s="13" t="n">
        <v>115000</v>
      </c>
      <c r="I519" s="14" t="n">
        <v>92000</v>
      </c>
      <c r="J519" s="14" t="n">
        <f aca="false">E519*I519</f>
        <v>920000</v>
      </c>
      <c r="K519" s="15" t="n">
        <f aca="false">H519*80%</f>
        <v>92000</v>
      </c>
      <c r="L519" s="0"/>
    </row>
    <row r="520" s="20" customFormat="true" ht="19.5" hidden="false" customHeight="true" outlineLevel="0" collapsed="false">
      <c r="A520" s="11" t="n">
        <v>519</v>
      </c>
      <c r="B520" s="26" t="s">
        <v>785</v>
      </c>
      <c r="C520" s="12"/>
      <c r="D520" s="11" t="s">
        <v>48</v>
      </c>
      <c r="E520" s="19" t="n">
        <v>100</v>
      </c>
      <c r="F520" s="19" t="s">
        <v>39</v>
      </c>
      <c r="G520" s="19" t="s">
        <v>58</v>
      </c>
      <c r="H520" s="19" t="n">
        <v>115000</v>
      </c>
      <c r="I520" s="14" t="n">
        <v>92000</v>
      </c>
      <c r="J520" s="14" t="n">
        <f aca="false">E520*I520</f>
        <v>9200000</v>
      </c>
      <c r="K520" s="15" t="n">
        <f aca="false">H520*80%</f>
        <v>92000</v>
      </c>
      <c r="L520" s="0"/>
    </row>
    <row r="521" s="20" customFormat="true" ht="19.5" hidden="false" customHeight="true" outlineLevel="0" collapsed="false">
      <c r="A521" s="11" t="n">
        <v>520</v>
      </c>
      <c r="B521" s="26" t="s">
        <v>786</v>
      </c>
      <c r="C521" s="12"/>
      <c r="D521" s="11" t="s">
        <v>48</v>
      </c>
      <c r="E521" s="19" t="n">
        <v>45</v>
      </c>
      <c r="F521" s="19" t="s">
        <v>39</v>
      </c>
      <c r="G521" s="19" t="s">
        <v>58</v>
      </c>
      <c r="H521" s="19" t="n">
        <v>87000</v>
      </c>
      <c r="I521" s="14" t="n">
        <v>69600</v>
      </c>
      <c r="J521" s="14" t="n">
        <f aca="false">E521*I521</f>
        <v>3132000</v>
      </c>
      <c r="K521" s="15" t="n">
        <f aca="false">H521*80%</f>
        <v>69600</v>
      </c>
      <c r="L521" s="0"/>
    </row>
    <row r="522" s="20" customFormat="true" ht="53.25" hidden="false" customHeight="true" outlineLevel="0" collapsed="false">
      <c r="A522" s="11" t="n">
        <v>521</v>
      </c>
      <c r="B522" s="26" t="s">
        <v>787</v>
      </c>
      <c r="C522" s="12" t="s">
        <v>788</v>
      </c>
      <c r="D522" s="11" t="s">
        <v>48</v>
      </c>
      <c r="E522" s="19" t="n">
        <v>10</v>
      </c>
      <c r="F522" s="19" t="s">
        <v>600</v>
      </c>
      <c r="G522" s="19" t="s">
        <v>58</v>
      </c>
      <c r="H522" s="19" t="n">
        <v>225000</v>
      </c>
      <c r="I522" s="14" t="n">
        <v>225000</v>
      </c>
      <c r="J522" s="14" t="n">
        <f aca="false">E522*I522</f>
        <v>2250000</v>
      </c>
      <c r="K522" s="15" t="n">
        <f aca="false">H522*80%</f>
        <v>180000</v>
      </c>
      <c r="L522" s="0"/>
    </row>
    <row r="523" s="44" customFormat="true" ht="110.25" hidden="false" customHeight="true" outlineLevel="0" collapsed="false">
      <c r="A523" s="11" t="n">
        <v>522</v>
      </c>
      <c r="B523" s="41" t="s">
        <v>789</v>
      </c>
      <c r="C523" s="54" t="s">
        <v>790</v>
      </c>
      <c r="D523" s="55" t="s">
        <v>338</v>
      </c>
      <c r="E523" s="43" t="n">
        <v>2</v>
      </c>
      <c r="F523" s="43" t="s">
        <v>39</v>
      </c>
      <c r="G523" s="43" t="s">
        <v>14</v>
      </c>
      <c r="H523" s="43" t="n">
        <v>25000</v>
      </c>
      <c r="I523" s="14" t="n">
        <v>20000</v>
      </c>
      <c r="J523" s="14" t="n">
        <f aca="false">E523*I523</f>
        <v>40000</v>
      </c>
      <c r="K523" s="15" t="n">
        <f aca="false">H523*80%</f>
        <v>20000</v>
      </c>
      <c r="L523" s="0"/>
    </row>
    <row r="524" s="44" customFormat="true" ht="15.75" hidden="false" customHeight="false" outlineLevel="0" collapsed="false">
      <c r="A524" s="11" t="n">
        <v>523</v>
      </c>
      <c r="B524" s="50" t="s">
        <v>791</v>
      </c>
      <c r="C524" s="56"/>
      <c r="D524" s="42" t="s">
        <v>48</v>
      </c>
      <c r="E524" s="43" t="n">
        <v>62</v>
      </c>
      <c r="F524" s="43" t="s">
        <v>39</v>
      </c>
      <c r="G524" s="43" t="s">
        <v>14</v>
      </c>
      <c r="H524" s="43" t="n">
        <v>30000</v>
      </c>
      <c r="I524" s="14" t="n">
        <v>24000</v>
      </c>
      <c r="J524" s="14" t="n">
        <f aca="false">E524*I524</f>
        <v>1488000</v>
      </c>
      <c r="K524" s="15" t="n">
        <f aca="false">H524*80%</f>
        <v>24000</v>
      </c>
      <c r="L524" s="0"/>
    </row>
    <row r="525" s="44" customFormat="true" ht="15.75" hidden="false" customHeight="false" outlineLevel="0" collapsed="false">
      <c r="A525" s="11" t="n">
        <v>524</v>
      </c>
      <c r="B525" s="41" t="s">
        <v>792</v>
      </c>
      <c r="C525" s="57"/>
      <c r="D525" s="55" t="s">
        <v>338</v>
      </c>
      <c r="E525" s="43" t="n">
        <v>27</v>
      </c>
      <c r="F525" s="43" t="s">
        <v>39</v>
      </c>
      <c r="G525" s="43" t="s">
        <v>14</v>
      </c>
      <c r="H525" s="43" t="n">
        <v>35000</v>
      </c>
      <c r="I525" s="14" t="n">
        <v>35000</v>
      </c>
      <c r="J525" s="14" t="n">
        <f aca="false">E525*I525</f>
        <v>945000</v>
      </c>
      <c r="K525" s="15" t="n">
        <f aca="false">H525*80%</f>
        <v>28000</v>
      </c>
      <c r="L525" s="0"/>
    </row>
    <row r="526" s="44" customFormat="true" ht="15.75" hidden="false" customHeight="false" outlineLevel="0" collapsed="false">
      <c r="A526" s="11" t="n">
        <v>525</v>
      </c>
      <c r="B526" s="50" t="s">
        <v>793</v>
      </c>
      <c r="C526" s="56"/>
      <c r="D526" s="42" t="s">
        <v>338</v>
      </c>
      <c r="E526" s="43" t="n">
        <v>8</v>
      </c>
      <c r="F526" s="43" t="s">
        <v>39</v>
      </c>
      <c r="G526" s="43" t="s">
        <v>14</v>
      </c>
      <c r="H526" s="43" t="n">
        <v>15000</v>
      </c>
      <c r="I526" s="14" t="n">
        <v>12000</v>
      </c>
      <c r="J526" s="14" t="n">
        <f aca="false">E526*I526</f>
        <v>96000</v>
      </c>
      <c r="K526" s="15" t="n">
        <f aca="false">H526*80%</f>
        <v>12000</v>
      </c>
      <c r="L526" s="0"/>
    </row>
    <row r="527" customFormat="false" ht="15.75" hidden="false" customHeight="false" outlineLevel="0" collapsed="false">
      <c r="A527" s="11" t="n">
        <v>526</v>
      </c>
      <c r="B527" s="50" t="s">
        <v>794</v>
      </c>
      <c r="C527" s="56"/>
      <c r="D527" s="42" t="s">
        <v>338</v>
      </c>
      <c r="E527" s="43" t="n">
        <v>40</v>
      </c>
      <c r="F527" s="43" t="s">
        <v>39</v>
      </c>
      <c r="G527" s="43" t="s">
        <v>14</v>
      </c>
      <c r="H527" s="43" t="n">
        <v>20000</v>
      </c>
      <c r="I527" s="14" t="n">
        <v>16000</v>
      </c>
      <c r="J527" s="14" t="n">
        <f aca="false">E527*I527</f>
        <v>640000</v>
      </c>
      <c r="K527" s="15" t="n">
        <f aca="false">H527*80%</f>
        <v>16000</v>
      </c>
    </row>
    <row r="528" customFormat="false" ht="15.75" hidden="false" customHeight="false" outlineLevel="0" collapsed="false">
      <c r="A528" s="11" t="n">
        <v>527</v>
      </c>
      <c r="B528" s="50" t="s">
        <v>795</v>
      </c>
      <c r="C528" s="58" t="s">
        <v>796</v>
      </c>
      <c r="D528" s="42" t="s">
        <v>338</v>
      </c>
      <c r="E528" s="43" t="n">
        <v>43</v>
      </c>
      <c r="F528" s="43" t="s">
        <v>797</v>
      </c>
      <c r="G528" s="43" t="s">
        <v>58</v>
      </c>
      <c r="H528" s="43" t="n">
        <v>53000</v>
      </c>
      <c r="I528" s="14" t="n">
        <v>42400</v>
      </c>
      <c r="J528" s="14" t="n">
        <f aca="false">E528*I528</f>
        <v>1823200</v>
      </c>
      <c r="K528" s="15" t="n">
        <f aca="false">H528*80%</f>
        <v>42400</v>
      </c>
    </row>
    <row r="529" s="44" customFormat="true" ht="15.75" hidden="false" customHeight="false" outlineLevel="0" collapsed="false">
      <c r="A529" s="11" t="n">
        <v>528</v>
      </c>
      <c r="B529" s="50" t="s">
        <v>798</v>
      </c>
      <c r="C529" s="51"/>
      <c r="D529" s="42" t="s">
        <v>338</v>
      </c>
      <c r="E529" s="43" t="n">
        <v>28</v>
      </c>
      <c r="F529" s="43" t="s">
        <v>39</v>
      </c>
      <c r="G529" s="43" t="s">
        <v>14</v>
      </c>
      <c r="H529" s="43" t="n">
        <v>10000</v>
      </c>
      <c r="I529" s="14" t="n">
        <v>8000</v>
      </c>
      <c r="J529" s="14" t="n">
        <f aca="false">E529*I529</f>
        <v>224000</v>
      </c>
      <c r="K529" s="15" t="n">
        <f aca="false">H529*80%</f>
        <v>8000</v>
      </c>
      <c r="L529" s="0"/>
    </row>
    <row r="530" s="20" customFormat="true" ht="142.5" hidden="false" customHeight="true" outlineLevel="0" collapsed="false">
      <c r="A530" s="11" t="n">
        <v>529</v>
      </c>
      <c r="B530" s="26" t="s">
        <v>799</v>
      </c>
      <c r="C530" s="12" t="s">
        <v>800</v>
      </c>
      <c r="D530" s="22" t="s">
        <v>801</v>
      </c>
      <c r="E530" s="19" t="n">
        <v>10</v>
      </c>
      <c r="F530" s="19" t="s">
        <v>802</v>
      </c>
      <c r="G530" s="19" t="s">
        <v>14</v>
      </c>
      <c r="H530" s="19" t="n">
        <v>265000</v>
      </c>
      <c r="I530" s="14" t="n">
        <v>212000</v>
      </c>
      <c r="J530" s="14" t="n">
        <f aca="false">E530*I530</f>
        <v>2120000</v>
      </c>
      <c r="K530" s="15" t="n">
        <f aca="false">H530*80%</f>
        <v>212000</v>
      </c>
      <c r="L530" s="0"/>
    </row>
    <row r="531" s="44" customFormat="true" ht="37.3" hidden="false" customHeight="false" outlineLevel="0" collapsed="false">
      <c r="A531" s="11" t="n">
        <v>530</v>
      </c>
      <c r="B531" s="50" t="s">
        <v>803</v>
      </c>
      <c r="C531" s="51" t="s">
        <v>804</v>
      </c>
      <c r="D531" s="42" t="s">
        <v>801</v>
      </c>
      <c r="E531" s="43" t="n">
        <v>230</v>
      </c>
      <c r="F531" s="19" t="s">
        <v>802</v>
      </c>
      <c r="G531" s="19" t="s">
        <v>14</v>
      </c>
      <c r="H531" s="43" t="n">
        <v>10000</v>
      </c>
      <c r="I531" s="14" t="n">
        <v>8000</v>
      </c>
      <c r="J531" s="14" t="n">
        <f aca="false">E531*I531</f>
        <v>1840000</v>
      </c>
      <c r="K531" s="15" t="n">
        <f aca="false">H531*80%</f>
        <v>8000</v>
      </c>
      <c r="L531" s="0"/>
    </row>
    <row r="532" s="44" customFormat="true" ht="37.3" hidden="false" customHeight="false" outlineLevel="0" collapsed="false">
      <c r="A532" s="11" t="n">
        <v>531</v>
      </c>
      <c r="B532" s="50" t="s">
        <v>805</v>
      </c>
      <c r="C532" s="51" t="s">
        <v>804</v>
      </c>
      <c r="D532" s="42" t="s">
        <v>801</v>
      </c>
      <c r="E532" s="43" t="n">
        <v>333</v>
      </c>
      <c r="F532" s="19" t="s">
        <v>802</v>
      </c>
      <c r="G532" s="19" t="s">
        <v>14</v>
      </c>
      <c r="H532" s="43" t="n">
        <v>13000</v>
      </c>
      <c r="I532" s="14" t="n">
        <v>10400</v>
      </c>
      <c r="J532" s="14" t="n">
        <f aca="false">E532*I532</f>
        <v>3463200</v>
      </c>
      <c r="K532" s="15" t="n">
        <f aca="false">H532*80%</f>
        <v>10400</v>
      </c>
      <c r="L532" s="0"/>
    </row>
    <row r="533" s="44" customFormat="true" ht="37.3" hidden="false" customHeight="false" outlineLevel="0" collapsed="false">
      <c r="A533" s="11" t="n">
        <v>532</v>
      </c>
      <c r="B533" s="50" t="s">
        <v>806</v>
      </c>
      <c r="C533" s="51" t="s">
        <v>804</v>
      </c>
      <c r="D533" s="42" t="s">
        <v>801</v>
      </c>
      <c r="E533" s="43" t="n">
        <v>333</v>
      </c>
      <c r="F533" s="19" t="s">
        <v>802</v>
      </c>
      <c r="G533" s="19" t="s">
        <v>14</v>
      </c>
      <c r="H533" s="43" t="n">
        <v>21000</v>
      </c>
      <c r="I533" s="14" t="n">
        <v>16800</v>
      </c>
      <c r="J533" s="14" t="n">
        <f aca="false">E533*I533</f>
        <v>5594400</v>
      </c>
      <c r="K533" s="15" t="n">
        <f aca="false">H533*80%</f>
        <v>16800</v>
      </c>
      <c r="L533" s="0"/>
    </row>
    <row r="534" s="44" customFormat="true" ht="37.3" hidden="false" customHeight="false" outlineLevel="0" collapsed="false">
      <c r="A534" s="11" t="n">
        <v>533</v>
      </c>
      <c r="B534" s="41" t="s">
        <v>807</v>
      </c>
      <c r="C534" s="51" t="s">
        <v>804</v>
      </c>
      <c r="D534" s="55" t="s">
        <v>801</v>
      </c>
      <c r="E534" s="43" t="n">
        <v>362</v>
      </c>
      <c r="F534" s="19" t="s">
        <v>802</v>
      </c>
      <c r="G534" s="19" t="s">
        <v>14</v>
      </c>
      <c r="H534" s="43" t="n">
        <v>10000</v>
      </c>
      <c r="I534" s="14" t="n">
        <v>8000</v>
      </c>
      <c r="J534" s="14" t="n">
        <f aca="false">E534*I534</f>
        <v>2896000</v>
      </c>
      <c r="K534" s="15" t="n">
        <f aca="false">H534*80%</f>
        <v>8000</v>
      </c>
      <c r="L534" s="0"/>
    </row>
    <row r="535" customFormat="false" ht="37.3" hidden="false" customHeight="false" outlineLevel="0" collapsed="false">
      <c r="A535" s="11" t="n">
        <v>534</v>
      </c>
      <c r="B535" s="50" t="s">
        <v>808</v>
      </c>
      <c r="C535" s="51" t="s">
        <v>804</v>
      </c>
      <c r="D535" s="42" t="s">
        <v>801</v>
      </c>
      <c r="E535" s="43" t="n">
        <v>409</v>
      </c>
      <c r="F535" s="19" t="s">
        <v>802</v>
      </c>
      <c r="G535" s="19" t="s">
        <v>14</v>
      </c>
      <c r="H535" s="43" t="n">
        <v>15000</v>
      </c>
      <c r="I535" s="14" t="n">
        <v>12000</v>
      </c>
      <c r="J535" s="14" t="n">
        <f aca="false">E535*I535</f>
        <v>4908000</v>
      </c>
      <c r="K535" s="15" t="n">
        <f aca="false">H535*80%</f>
        <v>12000</v>
      </c>
    </row>
    <row r="536" s="44" customFormat="true" ht="37.3" hidden="false" customHeight="false" outlineLevel="0" collapsed="false">
      <c r="A536" s="11" t="n">
        <v>535</v>
      </c>
      <c r="B536" s="50" t="s">
        <v>809</v>
      </c>
      <c r="C536" s="51" t="s">
        <v>804</v>
      </c>
      <c r="D536" s="42" t="s">
        <v>801</v>
      </c>
      <c r="E536" s="43" t="n">
        <v>333</v>
      </c>
      <c r="F536" s="19" t="s">
        <v>802</v>
      </c>
      <c r="G536" s="19" t="s">
        <v>14</v>
      </c>
      <c r="H536" s="43" t="n">
        <v>24000</v>
      </c>
      <c r="I536" s="14" t="n">
        <v>19200</v>
      </c>
      <c r="J536" s="14" t="n">
        <f aca="false">E536*I536</f>
        <v>6393600</v>
      </c>
      <c r="K536" s="15" t="n">
        <f aca="false">H536*80%</f>
        <v>19200</v>
      </c>
      <c r="L536" s="0"/>
    </row>
    <row r="537" s="44" customFormat="true" ht="37.3" hidden="false" customHeight="false" outlineLevel="0" collapsed="false">
      <c r="A537" s="11" t="n">
        <v>536</v>
      </c>
      <c r="B537" s="50" t="s">
        <v>810</v>
      </c>
      <c r="C537" s="51" t="s">
        <v>804</v>
      </c>
      <c r="D537" s="42" t="s">
        <v>801</v>
      </c>
      <c r="E537" s="43" t="n">
        <v>37</v>
      </c>
      <c r="F537" s="19" t="s">
        <v>802</v>
      </c>
      <c r="G537" s="19" t="s">
        <v>14</v>
      </c>
      <c r="H537" s="43" t="n">
        <v>45000</v>
      </c>
      <c r="I537" s="14" t="n">
        <v>36000</v>
      </c>
      <c r="J537" s="14" t="n">
        <f aca="false">E537*I537</f>
        <v>1332000</v>
      </c>
      <c r="K537" s="15" t="n">
        <f aca="false">H537*80%</f>
        <v>36000</v>
      </c>
      <c r="L537" s="0"/>
    </row>
    <row r="538" customFormat="false" ht="85.05" hidden="false" customHeight="false" outlineLevel="0" collapsed="false">
      <c r="A538" s="11" t="n">
        <v>537</v>
      </c>
      <c r="B538" s="50" t="s">
        <v>811</v>
      </c>
      <c r="C538" s="51" t="s">
        <v>812</v>
      </c>
      <c r="D538" s="42" t="s">
        <v>300</v>
      </c>
      <c r="E538" s="43" t="n">
        <v>235</v>
      </c>
      <c r="F538" s="43" t="s">
        <v>813</v>
      </c>
      <c r="G538" s="43" t="s">
        <v>14</v>
      </c>
      <c r="H538" s="43" t="n">
        <v>40000</v>
      </c>
      <c r="I538" s="14" t="n">
        <v>40000</v>
      </c>
      <c r="J538" s="14" t="n">
        <f aca="false">E538*I538</f>
        <v>9400000</v>
      </c>
      <c r="K538" s="15" t="n">
        <f aca="false">H538*80%</f>
        <v>32000</v>
      </c>
    </row>
    <row r="539" customFormat="false" ht="85.05" hidden="false" customHeight="false" outlineLevel="0" collapsed="false">
      <c r="A539" s="11" t="n">
        <v>538</v>
      </c>
      <c r="B539" s="50" t="s">
        <v>814</v>
      </c>
      <c r="C539" s="51" t="s">
        <v>812</v>
      </c>
      <c r="D539" s="42" t="s">
        <v>300</v>
      </c>
      <c r="E539" s="43" t="n">
        <v>1145</v>
      </c>
      <c r="F539" s="43" t="s">
        <v>813</v>
      </c>
      <c r="G539" s="43" t="s">
        <v>14</v>
      </c>
      <c r="H539" s="43" t="n">
        <v>42000</v>
      </c>
      <c r="I539" s="14" t="n">
        <v>42000</v>
      </c>
      <c r="J539" s="14" t="n">
        <f aca="false">E539*I539</f>
        <v>48090000</v>
      </c>
      <c r="K539" s="15" t="n">
        <f aca="false">H539*80%</f>
        <v>33600</v>
      </c>
    </row>
    <row r="540" customFormat="false" ht="15.75" hidden="false" customHeight="false" outlineLevel="0" collapsed="false">
      <c r="A540" s="11" t="n">
        <v>539</v>
      </c>
      <c r="B540" s="50" t="s">
        <v>815</v>
      </c>
      <c r="C540" s="54"/>
      <c r="D540" s="42" t="s">
        <v>300</v>
      </c>
      <c r="E540" s="43" t="n">
        <v>100</v>
      </c>
      <c r="F540" s="43" t="s">
        <v>816</v>
      </c>
      <c r="G540" s="43" t="s">
        <v>736</v>
      </c>
      <c r="H540" s="43" t="n">
        <v>125000</v>
      </c>
      <c r="I540" s="14" t="n">
        <v>100000</v>
      </c>
      <c r="J540" s="14" t="n">
        <f aca="false">E540*I540</f>
        <v>10000000</v>
      </c>
      <c r="K540" s="15" t="n">
        <f aca="false">H540*80%</f>
        <v>100000</v>
      </c>
    </row>
    <row r="541" s="44" customFormat="true" ht="61.15" hidden="false" customHeight="false" outlineLevel="0" collapsed="false">
      <c r="A541" s="11" t="n">
        <v>540</v>
      </c>
      <c r="B541" s="41" t="s">
        <v>817</v>
      </c>
      <c r="C541" s="54" t="s">
        <v>818</v>
      </c>
      <c r="D541" s="55" t="s">
        <v>210</v>
      </c>
      <c r="E541" s="43" t="n">
        <v>1</v>
      </c>
      <c r="F541" s="43" t="s">
        <v>813</v>
      </c>
      <c r="G541" s="43" t="s">
        <v>14</v>
      </c>
      <c r="H541" s="43" t="n">
        <v>840000</v>
      </c>
      <c r="I541" s="14" t="n">
        <v>672000</v>
      </c>
      <c r="J541" s="14" t="n">
        <f aca="false">E541*I541</f>
        <v>672000</v>
      </c>
      <c r="K541" s="15" t="n">
        <f aca="false">H541*80%</f>
        <v>672000</v>
      </c>
      <c r="L541" s="0"/>
    </row>
    <row r="542" s="44" customFormat="true" ht="61.15" hidden="false" customHeight="false" outlineLevel="0" collapsed="false">
      <c r="A542" s="11" t="n">
        <v>541</v>
      </c>
      <c r="B542" s="41" t="s">
        <v>819</v>
      </c>
      <c r="C542" s="54" t="s">
        <v>820</v>
      </c>
      <c r="D542" s="55" t="s">
        <v>210</v>
      </c>
      <c r="E542" s="43" t="n">
        <v>21</v>
      </c>
      <c r="F542" s="43" t="s">
        <v>813</v>
      </c>
      <c r="G542" s="43" t="s">
        <v>14</v>
      </c>
      <c r="H542" s="43" t="n">
        <v>750000</v>
      </c>
      <c r="I542" s="14" t="n">
        <v>600000</v>
      </c>
      <c r="J542" s="14" t="n">
        <f aca="false">E542*I542</f>
        <v>12600000</v>
      </c>
      <c r="K542" s="15" t="n">
        <f aca="false">H542*80%</f>
        <v>600000</v>
      </c>
      <c r="L542" s="0"/>
    </row>
    <row r="543" s="44" customFormat="true" ht="25.35" hidden="false" customHeight="false" outlineLevel="0" collapsed="false">
      <c r="A543" s="11" t="n">
        <v>542</v>
      </c>
      <c r="B543" s="50" t="s">
        <v>821</v>
      </c>
      <c r="C543" s="54" t="s">
        <v>822</v>
      </c>
      <c r="D543" s="42" t="s">
        <v>210</v>
      </c>
      <c r="E543" s="43" t="n">
        <v>16</v>
      </c>
      <c r="F543" s="43" t="s">
        <v>816</v>
      </c>
      <c r="G543" s="43" t="s">
        <v>736</v>
      </c>
      <c r="H543" s="43" t="n">
        <v>1005000</v>
      </c>
      <c r="I543" s="14" t="n">
        <v>804000</v>
      </c>
      <c r="J543" s="14" t="n">
        <f aca="false">E543*I543</f>
        <v>12864000</v>
      </c>
      <c r="K543" s="15" t="n">
        <f aca="false">H543*80%</f>
        <v>804000</v>
      </c>
      <c r="L543" s="0"/>
    </row>
    <row r="544" customFormat="false" ht="15.75" hidden="false" customHeight="false" outlineLevel="0" collapsed="false">
      <c r="A544" s="11" t="n">
        <v>543</v>
      </c>
      <c r="B544" s="50" t="s">
        <v>823</v>
      </c>
      <c r="C544" s="56"/>
      <c r="D544" s="42" t="s">
        <v>824</v>
      </c>
      <c r="E544" s="43" t="n">
        <v>23</v>
      </c>
      <c r="F544" s="43" t="s">
        <v>39</v>
      </c>
      <c r="G544" s="43" t="s">
        <v>14</v>
      </c>
      <c r="H544" s="43" t="n">
        <v>135000</v>
      </c>
      <c r="I544" s="14" t="n">
        <v>300000</v>
      </c>
      <c r="J544" s="14" t="n">
        <f aca="false">E544*I544</f>
        <v>6900000</v>
      </c>
      <c r="K544" s="15" t="n">
        <f aca="false">H544*80%</f>
        <v>108000</v>
      </c>
    </row>
    <row r="545" customFormat="false" ht="15.75" hidden="false" customHeight="false" outlineLevel="0" collapsed="false">
      <c r="A545" s="11" t="n">
        <v>544</v>
      </c>
      <c r="B545" s="41" t="s">
        <v>825</v>
      </c>
      <c r="C545" s="56"/>
      <c r="D545" s="55" t="s">
        <v>824</v>
      </c>
      <c r="E545" s="43" t="n">
        <v>46</v>
      </c>
      <c r="F545" s="43" t="s">
        <v>39</v>
      </c>
      <c r="G545" s="43" t="s">
        <v>14</v>
      </c>
      <c r="H545" s="43" t="n">
        <v>130000</v>
      </c>
      <c r="I545" s="14" t="n">
        <v>300000</v>
      </c>
      <c r="J545" s="14" t="n">
        <f aca="false">E545*I545</f>
        <v>13800000</v>
      </c>
      <c r="K545" s="15" t="n">
        <f aca="false">H545*80%</f>
        <v>104000</v>
      </c>
    </row>
    <row r="546" customFormat="false" ht="15.75" hidden="false" customHeight="false" outlineLevel="0" collapsed="false">
      <c r="A546" s="11" t="n">
        <v>545</v>
      </c>
      <c r="B546" s="50" t="s">
        <v>826</v>
      </c>
      <c r="C546" s="56"/>
      <c r="D546" s="42" t="s">
        <v>824</v>
      </c>
      <c r="E546" s="43" t="n">
        <v>246</v>
      </c>
      <c r="F546" s="43" t="s">
        <v>39</v>
      </c>
      <c r="G546" s="43" t="s">
        <v>14</v>
      </c>
      <c r="H546" s="43" t="n">
        <v>135000</v>
      </c>
      <c r="I546" s="14" t="n">
        <v>108000</v>
      </c>
      <c r="J546" s="14" t="n">
        <f aca="false">E546*I546</f>
        <v>26568000</v>
      </c>
      <c r="K546" s="15" t="n">
        <f aca="false">H546*80%</f>
        <v>108000</v>
      </c>
    </row>
    <row r="547" customFormat="false" ht="15.75" hidden="false" customHeight="false" outlineLevel="0" collapsed="false">
      <c r="A547" s="11" t="n">
        <v>546</v>
      </c>
      <c r="B547" s="50" t="s">
        <v>827</v>
      </c>
      <c r="C547" s="56"/>
      <c r="D547" s="42" t="s">
        <v>490</v>
      </c>
      <c r="E547" s="43" t="n">
        <v>57</v>
      </c>
      <c r="F547" s="43" t="s">
        <v>828</v>
      </c>
      <c r="G547" s="43" t="s">
        <v>14</v>
      </c>
      <c r="H547" s="43" t="n">
        <v>675000</v>
      </c>
      <c r="I547" s="14" t="n">
        <v>540000</v>
      </c>
      <c r="J547" s="14" t="n">
        <f aca="false">E547*I547</f>
        <v>30780000</v>
      </c>
      <c r="K547" s="15" t="n">
        <f aca="false">H547*80%</f>
        <v>540000</v>
      </c>
    </row>
    <row r="548" s="20" customFormat="true" ht="18" hidden="false" customHeight="true" outlineLevel="0" collapsed="false">
      <c r="A548" s="11" t="n">
        <v>547</v>
      </c>
      <c r="B548" s="26" t="s">
        <v>829</v>
      </c>
      <c r="C548" s="12"/>
      <c r="D548" s="22" t="s">
        <v>48</v>
      </c>
      <c r="E548" s="19" t="n">
        <v>100</v>
      </c>
      <c r="F548" s="19" t="s">
        <v>39</v>
      </c>
      <c r="G548" s="43" t="s">
        <v>14</v>
      </c>
      <c r="H548" s="19" t="n">
        <v>5000</v>
      </c>
      <c r="I548" s="14" t="n">
        <v>4000</v>
      </c>
      <c r="J548" s="14" t="n">
        <f aca="false">E548*I548</f>
        <v>400000</v>
      </c>
      <c r="K548" s="15" t="n">
        <f aca="false">H548*80%</f>
        <v>4000</v>
      </c>
      <c r="L548" s="0"/>
    </row>
    <row r="549" s="20" customFormat="true" ht="18" hidden="false" customHeight="true" outlineLevel="0" collapsed="false">
      <c r="A549" s="11" t="n">
        <v>548</v>
      </c>
      <c r="B549" s="26"/>
      <c r="C549" s="12"/>
      <c r="D549" s="22" t="s">
        <v>48</v>
      </c>
      <c r="E549" s="19" t="n">
        <v>160</v>
      </c>
      <c r="F549" s="19" t="s">
        <v>39</v>
      </c>
      <c r="G549" s="43" t="s">
        <v>14</v>
      </c>
      <c r="H549" s="19" t="n">
        <v>6000</v>
      </c>
      <c r="I549" s="14" t="n">
        <v>4800</v>
      </c>
      <c r="J549" s="14" t="n">
        <f aca="false">E549*I549</f>
        <v>768000</v>
      </c>
      <c r="K549" s="15" t="n">
        <f aca="false">H549*80%</f>
        <v>4800</v>
      </c>
      <c r="L549" s="0"/>
    </row>
    <row r="550" s="20" customFormat="true" ht="18" hidden="false" customHeight="true" outlineLevel="0" collapsed="false">
      <c r="A550" s="11" t="n">
        <v>549</v>
      </c>
      <c r="B550" s="26"/>
      <c r="C550" s="12"/>
      <c r="D550" s="22" t="s">
        <v>48</v>
      </c>
      <c r="E550" s="13" t="n">
        <v>100</v>
      </c>
      <c r="F550" s="19" t="s">
        <v>39</v>
      </c>
      <c r="G550" s="43" t="s">
        <v>14</v>
      </c>
      <c r="H550" s="13" t="n">
        <v>15000</v>
      </c>
      <c r="I550" s="14" t="n">
        <v>12000</v>
      </c>
      <c r="J550" s="14" t="n">
        <f aca="false">E550*I550</f>
        <v>1200000</v>
      </c>
      <c r="K550" s="15" t="n">
        <f aca="false">H550*80%</f>
        <v>12000</v>
      </c>
      <c r="L550" s="0"/>
    </row>
    <row r="551" s="20" customFormat="true" ht="18" hidden="false" customHeight="true" outlineLevel="0" collapsed="false">
      <c r="A551" s="11" t="n">
        <v>550</v>
      </c>
      <c r="B551" s="26"/>
      <c r="C551" s="12"/>
      <c r="D551" s="22" t="s">
        <v>48</v>
      </c>
      <c r="E551" s="13" t="n">
        <v>100</v>
      </c>
      <c r="F551" s="19" t="s">
        <v>39</v>
      </c>
      <c r="G551" s="43" t="s">
        <v>14</v>
      </c>
      <c r="H551" s="13" t="n">
        <v>18000</v>
      </c>
      <c r="I551" s="14" t="n">
        <v>14400</v>
      </c>
      <c r="J551" s="14" t="n">
        <f aca="false">E551*I551</f>
        <v>1440000</v>
      </c>
      <c r="K551" s="15" t="n">
        <f aca="false">H551*80%</f>
        <v>14400</v>
      </c>
      <c r="L551" s="0"/>
    </row>
    <row r="552" s="20" customFormat="true" ht="19.5" hidden="false" customHeight="true" outlineLevel="0" collapsed="false">
      <c r="A552" s="11" t="n">
        <v>551</v>
      </c>
      <c r="B552" s="12" t="s">
        <v>830</v>
      </c>
      <c r="C552" s="12"/>
      <c r="D552" s="11" t="s">
        <v>118</v>
      </c>
      <c r="E552" s="13" t="n">
        <v>35</v>
      </c>
      <c r="F552" s="19" t="s">
        <v>39</v>
      </c>
      <c r="G552" s="43" t="s">
        <v>14</v>
      </c>
      <c r="H552" s="13" t="n">
        <v>10000</v>
      </c>
      <c r="I552" s="14" t="n">
        <v>8000</v>
      </c>
      <c r="J552" s="14" t="n">
        <f aca="false">E552*I552</f>
        <v>280000</v>
      </c>
      <c r="K552" s="15" t="n">
        <f aca="false">H552*80%</f>
        <v>8000</v>
      </c>
      <c r="L552" s="0"/>
    </row>
    <row r="553" s="20" customFormat="true" ht="109.5" hidden="false" customHeight="true" outlineLevel="0" collapsed="false">
      <c r="A553" s="11" t="n">
        <v>552</v>
      </c>
      <c r="B553" s="12" t="s">
        <v>831</v>
      </c>
      <c r="C553" s="12" t="s">
        <v>832</v>
      </c>
      <c r="D553" s="11" t="s">
        <v>48</v>
      </c>
      <c r="E553" s="13" t="n">
        <v>200</v>
      </c>
      <c r="F553" s="13" t="s">
        <v>39</v>
      </c>
      <c r="G553" s="13" t="s">
        <v>833</v>
      </c>
      <c r="H553" s="13" t="n">
        <v>2000</v>
      </c>
      <c r="I553" s="14" t="n">
        <v>1600</v>
      </c>
      <c r="J553" s="14" t="n">
        <f aca="false">E553*I553</f>
        <v>320000</v>
      </c>
      <c r="K553" s="15" t="n">
        <f aca="false">H553*80%</f>
        <v>1600</v>
      </c>
      <c r="L553" s="0"/>
    </row>
    <row r="554" s="20" customFormat="true" ht="207.75" hidden="false" customHeight="true" outlineLevel="0" collapsed="false">
      <c r="A554" s="11" t="n">
        <v>553</v>
      </c>
      <c r="B554" s="26" t="s">
        <v>834</v>
      </c>
      <c r="C554" s="12" t="s">
        <v>835</v>
      </c>
      <c r="D554" s="22" t="s">
        <v>373</v>
      </c>
      <c r="E554" s="19" t="n">
        <v>15</v>
      </c>
      <c r="F554" s="19" t="s">
        <v>836</v>
      </c>
      <c r="G554" s="19" t="s">
        <v>837</v>
      </c>
      <c r="H554" s="19" t="n">
        <v>135000</v>
      </c>
      <c r="I554" s="14" t="n">
        <v>108000</v>
      </c>
      <c r="J554" s="14" t="n">
        <f aca="false">E554*I554</f>
        <v>1620000</v>
      </c>
      <c r="K554" s="15" t="n">
        <f aca="false">H554*80%</f>
        <v>108000</v>
      </c>
      <c r="L554" s="0"/>
    </row>
    <row r="555" s="20" customFormat="true" ht="19.5" hidden="false" customHeight="true" outlineLevel="0" collapsed="false">
      <c r="A555" s="11" t="n">
        <v>554</v>
      </c>
      <c r="B555" s="26" t="s">
        <v>838</v>
      </c>
      <c r="C555" s="12"/>
      <c r="D555" s="22" t="s">
        <v>403</v>
      </c>
      <c r="E555" s="19" t="n">
        <v>6</v>
      </c>
      <c r="F555" s="19"/>
      <c r="G555" s="19"/>
      <c r="H555" s="19" t="n">
        <v>35000</v>
      </c>
      <c r="I555" s="14" t="n">
        <v>28000</v>
      </c>
      <c r="J555" s="14" t="n">
        <f aca="false">E555*I555</f>
        <v>168000</v>
      </c>
      <c r="K555" s="15" t="n">
        <f aca="false">H555*80%</f>
        <v>28000</v>
      </c>
      <c r="L555" s="0"/>
    </row>
    <row r="556" s="20" customFormat="true" ht="19.5" hidden="false" customHeight="true" outlineLevel="0" collapsed="false">
      <c r="A556" s="11" t="n">
        <v>555</v>
      </c>
      <c r="B556" s="26" t="s">
        <v>839</v>
      </c>
      <c r="C556" s="12"/>
      <c r="D556" s="22" t="s">
        <v>48</v>
      </c>
      <c r="E556" s="19" t="n">
        <v>110</v>
      </c>
      <c r="F556" s="19"/>
      <c r="G556" s="19"/>
      <c r="H556" s="19" t="n">
        <v>38000</v>
      </c>
      <c r="I556" s="14" t="n">
        <v>30400</v>
      </c>
      <c r="J556" s="14" t="n">
        <f aca="false">E556*I556</f>
        <v>3344000</v>
      </c>
      <c r="K556" s="15" t="n">
        <f aca="false">H556*80%</f>
        <v>30400</v>
      </c>
      <c r="L556" s="0"/>
    </row>
    <row r="557" s="20" customFormat="true" ht="19.5" hidden="false" customHeight="true" outlineLevel="0" collapsed="false">
      <c r="A557" s="11" t="n">
        <v>556</v>
      </c>
      <c r="B557" s="26"/>
      <c r="C557" s="12"/>
      <c r="D557" s="22" t="s">
        <v>48</v>
      </c>
      <c r="E557" s="19" t="n">
        <v>100</v>
      </c>
      <c r="F557" s="19"/>
      <c r="G557" s="19"/>
      <c r="H557" s="19" t="n">
        <v>25000</v>
      </c>
      <c r="I557" s="14" t="n">
        <v>20000</v>
      </c>
      <c r="J557" s="14" t="n">
        <f aca="false">E557*I557</f>
        <v>2000000</v>
      </c>
      <c r="K557" s="15" t="n">
        <f aca="false">H557*80%</f>
        <v>20000</v>
      </c>
      <c r="L557" s="0"/>
    </row>
    <row r="558" s="20" customFormat="true" ht="19.5" hidden="false" customHeight="true" outlineLevel="0" collapsed="false">
      <c r="A558" s="11" t="n">
        <v>557</v>
      </c>
      <c r="B558" s="26" t="s">
        <v>840</v>
      </c>
      <c r="C558" s="12"/>
      <c r="D558" s="11" t="s">
        <v>363</v>
      </c>
      <c r="E558" s="13" t="n">
        <v>10</v>
      </c>
      <c r="F558" s="13"/>
      <c r="G558" s="13"/>
      <c r="H558" s="13" t="n">
        <v>135000</v>
      </c>
      <c r="I558" s="14" t="n">
        <v>108000</v>
      </c>
      <c r="J558" s="14" t="n">
        <f aca="false">E558*I558</f>
        <v>1080000</v>
      </c>
      <c r="K558" s="15" t="n">
        <f aca="false">H558*80%</f>
        <v>108000</v>
      </c>
      <c r="L558" s="0"/>
    </row>
    <row r="559" s="20" customFormat="true" ht="34.5" hidden="false" customHeight="true" outlineLevel="0" collapsed="false">
      <c r="A559" s="11" t="n">
        <v>558</v>
      </c>
      <c r="B559" s="26" t="s">
        <v>841</v>
      </c>
      <c r="C559" s="12"/>
      <c r="D559" s="22" t="s">
        <v>490</v>
      </c>
      <c r="E559" s="19" t="n">
        <v>10</v>
      </c>
      <c r="F559" s="19"/>
      <c r="G559" s="19"/>
      <c r="H559" s="19" t="n">
        <v>42000</v>
      </c>
      <c r="I559" s="14" t="n">
        <v>33600</v>
      </c>
      <c r="J559" s="14" t="n">
        <f aca="false">E559*I559</f>
        <v>336000</v>
      </c>
      <c r="K559" s="15" t="n">
        <f aca="false">H559*80%</f>
        <v>33600</v>
      </c>
      <c r="L559" s="0"/>
    </row>
    <row r="560" s="20" customFormat="true" ht="34.5" hidden="false" customHeight="true" outlineLevel="0" collapsed="false">
      <c r="A560" s="11" t="n">
        <v>559</v>
      </c>
      <c r="B560" s="26"/>
      <c r="C560" s="12"/>
      <c r="D560" s="22" t="s">
        <v>490</v>
      </c>
      <c r="E560" s="19" t="n">
        <v>10</v>
      </c>
      <c r="F560" s="19"/>
      <c r="G560" s="19"/>
      <c r="H560" s="19" t="n">
        <v>42000</v>
      </c>
      <c r="I560" s="14" t="n">
        <v>33600</v>
      </c>
      <c r="J560" s="14" t="n">
        <f aca="false">E560*I560</f>
        <v>336000</v>
      </c>
      <c r="K560" s="15" t="n">
        <f aca="false">H560*80%</f>
        <v>33600</v>
      </c>
      <c r="L560" s="0"/>
    </row>
    <row r="561" s="20" customFormat="true" ht="34.5" hidden="false" customHeight="true" outlineLevel="0" collapsed="false">
      <c r="A561" s="11" t="n">
        <v>560</v>
      </c>
      <c r="B561" s="26"/>
      <c r="C561" s="12"/>
      <c r="D561" s="22" t="s">
        <v>490</v>
      </c>
      <c r="E561" s="19" t="n">
        <v>10</v>
      </c>
      <c r="F561" s="19"/>
      <c r="G561" s="19"/>
      <c r="H561" s="19" t="n">
        <v>42000</v>
      </c>
      <c r="I561" s="14" t="n">
        <v>33600</v>
      </c>
      <c r="J561" s="14" t="n">
        <f aca="false">E561*I561</f>
        <v>336000</v>
      </c>
      <c r="K561" s="15" t="n">
        <f aca="false">H561*80%</f>
        <v>33600</v>
      </c>
      <c r="L561" s="0"/>
    </row>
    <row r="562" s="20" customFormat="true" ht="34.5" hidden="false" customHeight="true" outlineLevel="0" collapsed="false">
      <c r="A562" s="11" t="n">
        <v>561</v>
      </c>
      <c r="B562" s="26"/>
      <c r="C562" s="12"/>
      <c r="D562" s="22" t="s">
        <v>490</v>
      </c>
      <c r="E562" s="19" t="n">
        <v>10</v>
      </c>
      <c r="F562" s="19"/>
      <c r="G562" s="19"/>
      <c r="H562" s="19" t="n">
        <v>42000</v>
      </c>
      <c r="I562" s="14" t="n">
        <v>33600</v>
      </c>
      <c r="J562" s="14" t="n">
        <f aca="false">E562*I562</f>
        <v>336000</v>
      </c>
      <c r="K562" s="15" t="n">
        <f aca="false">H562*80%</f>
        <v>33600</v>
      </c>
      <c r="L562" s="0"/>
    </row>
    <row r="563" s="44" customFormat="true" ht="26.85" hidden="false" customHeight="false" outlineLevel="0" collapsed="false">
      <c r="A563" s="11" t="n">
        <v>562</v>
      </c>
      <c r="B563" s="18" t="s">
        <v>842</v>
      </c>
      <c r="C563" s="18"/>
      <c r="D563" s="11" t="s">
        <v>843</v>
      </c>
      <c r="E563" s="19" t="n">
        <v>2</v>
      </c>
      <c r="F563" s="19"/>
      <c r="G563" s="19"/>
      <c r="H563" s="19" t="n">
        <v>155000</v>
      </c>
      <c r="I563" s="14" t="n">
        <v>124000</v>
      </c>
      <c r="J563" s="14" t="n">
        <f aca="false">E563*I563</f>
        <v>248000</v>
      </c>
      <c r="K563" s="15" t="n">
        <f aca="false">H563*80%</f>
        <v>124000</v>
      </c>
      <c r="L563" s="0"/>
    </row>
    <row r="564" s="44" customFormat="true" ht="26.85" hidden="false" customHeight="false" outlineLevel="0" collapsed="false">
      <c r="A564" s="11" t="n">
        <v>563</v>
      </c>
      <c r="B564" s="18" t="s">
        <v>844</v>
      </c>
      <c r="C564" s="18"/>
      <c r="D564" s="11" t="s">
        <v>48</v>
      </c>
      <c r="E564" s="19" t="n">
        <v>2</v>
      </c>
      <c r="F564" s="19"/>
      <c r="G564" s="19"/>
      <c r="H564" s="19" t="n">
        <v>650000</v>
      </c>
      <c r="I564" s="14" t="n">
        <v>520000</v>
      </c>
      <c r="J564" s="14" t="n">
        <f aca="false">E564*I564</f>
        <v>1040000</v>
      </c>
      <c r="K564" s="15" t="n">
        <f aca="false">H564*80%</f>
        <v>520000</v>
      </c>
      <c r="L564" s="0"/>
    </row>
    <row r="565" s="44" customFormat="true" ht="26.85" hidden="false" customHeight="false" outlineLevel="0" collapsed="false">
      <c r="A565" s="11" t="n">
        <v>564</v>
      </c>
      <c r="B565" s="18" t="s">
        <v>845</v>
      </c>
      <c r="C565" s="18"/>
      <c r="D565" s="11" t="s">
        <v>48</v>
      </c>
      <c r="E565" s="19" t="n">
        <v>1</v>
      </c>
      <c r="F565" s="19"/>
      <c r="G565" s="19"/>
      <c r="H565" s="19" t="n">
        <v>750000</v>
      </c>
      <c r="I565" s="14" t="n">
        <v>600000</v>
      </c>
      <c r="J565" s="14" t="n">
        <f aca="false">E565*I565</f>
        <v>600000</v>
      </c>
      <c r="K565" s="15" t="n">
        <f aca="false">H565*80%</f>
        <v>600000</v>
      </c>
      <c r="L565" s="0"/>
    </row>
    <row r="566" s="44" customFormat="true" ht="96.75" hidden="false" customHeight="true" outlineLevel="0" collapsed="false">
      <c r="A566" s="11" t="n">
        <v>565</v>
      </c>
      <c r="B566" s="18" t="s">
        <v>846</v>
      </c>
      <c r="C566" s="59"/>
      <c r="D566" s="22" t="s">
        <v>361</v>
      </c>
      <c r="E566" s="19" t="n">
        <v>7</v>
      </c>
      <c r="F566" s="19"/>
      <c r="G566" s="19"/>
      <c r="H566" s="19" t="n">
        <v>915000</v>
      </c>
      <c r="I566" s="14" t="n">
        <v>732000</v>
      </c>
      <c r="J566" s="14" t="n">
        <f aca="false">E566*I566</f>
        <v>5124000</v>
      </c>
      <c r="K566" s="15" t="n">
        <f aca="false">H566*80%</f>
        <v>732000</v>
      </c>
      <c r="L566" s="0"/>
    </row>
    <row r="567" s="44" customFormat="true" ht="15.75" hidden="false" customHeight="false" outlineLevel="0" collapsed="false">
      <c r="A567" s="11" t="n">
        <v>566</v>
      </c>
      <c r="B567" s="26" t="s">
        <v>847</v>
      </c>
      <c r="C567" s="18"/>
      <c r="D567" s="22" t="s">
        <v>361</v>
      </c>
      <c r="E567" s="19" t="n">
        <v>40</v>
      </c>
      <c r="F567" s="19"/>
      <c r="G567" s="19"/>
      <c r="H567" s="19" t="n">
        <v>85000</v>
      </c>
      <c r="I567" s="14" t="n">
        <v>68000</v>
      </c>
      <c r="J567" s="14" t="n">
        <f aca="false">E567*I567</f>
        <v>2720000</v>
      </c>
      <c r="K567" s="15" t="n">
        <f aca="false">H567*80%</f>
        <v>68000</v>
      </c>
      <c r="L567" s="0"/>
    </row>
    <row r="568" s="44" customFormat="true" ht="15.75" hidden="false" customHeight="false" outlineLevel="0" collapsed="false">
      <c r="A568" s="11" t="n">
        <v>567</v>
      </c>
      <c r="B568" s="26" t="s">
        <v>848</v>
      </c>
      <c r="C568" s="18"/>
      <c r="D568" s="22" t="s">
        <v>118</v>
      </c>
      <c r="E568" s="19" t="n">
        <v>15</v>
      </c>
      <c r="F568" s="19"/>
      <c r="G568" s="19"/>
      <c r="H568" s="19" t="n">
        <v>155000</v>
      </c>
      <c r="I568" s="14" t="n">
        <v>124000</v>
      </c>
      <c r="J568" s="14" t="n">
        <f aca="false">E568*I568</f>
        <v>1860000</v>
      </c>
      <c r="K568" s="15" t="n">
        <f aca="false">H568*80%</f>
        <v>124000</v>
      </c>
      <c r="L568" s="0"/>
    </row>
    <row r="569" s="44" customFormat="true" ht="15.75" hidden="false" customHeight="false" outlineLevel="0" collapsed="false">
      <c r="A569" s="11" t="n">
        <v>568</v>
      </c>
      <c r="B569" s="18" t="s">
        <v>849</v>
      </c>
      <c r="C569" s="18"/>
      <c r="D569" s="22" t="s">
        <v>48</v>
      </c>
      <c r="E569" s="60" t="n">
        <v>2</v>
      </c>
      <c r="F569" s="60"/>
      <c r="G569" s="60"/>
      <c r="H569" s="60" t="n">
        <v>485000</v>
      </c>
      <c r="I569" s="14" t="n">
        <v>388000</v>
      </c>
      <c r="J569" s="14" t="n">
        <f aca="false">E569*I569</f>
        <v>776000</v>
      </c>
      <c r="K569" s="15" t="n">
        <f aca="false">H569*80%</f>
        <v>388000</v>
      </c>
      <c r="L569" s="0"/>
    </row>
    <row r="570" s="44" customFormat="true" ht="15.75" hidden="false" customHeight="false" outlineLevel="0" collapsed="false">
      <c r="A570" s="11" t="n">
        <v>569</v>
      </c>
      <c r="B570" s="18" t="s">
        <v>850</v>
      </c>
      <c r="C570" s="18"/>
      <c r="D570" s="22" t="s">
        <v>48</v>
      </c>
      <c r="E570" s="19" t="n">
        <v>2</v>
      </c>
      <c r="F570" s="19"/>
      <c r="G570" s="19"/>
      <c r="H570" s="19" t="n">
        <v>1250000</v>
      </c>
      <c r="I570" s="14" t="n">
        <v>1000000</v>
      </c>
      <c r="J570" s="14" t="n">
        <f aca="false">E570*I570</f>
        <v>2000000</v>
      </c>
      <c r="K570" s="15" t="n">
        <f aca="false">H570*80%</f>
        <v>1000000</v>
      </c>
      <c r="L570" s="0"/>
    </row>
    <row r="571" s="44" customFormat="true" ht="15.75" hidden="false" customHeight="false" outlineLevel="0" collapsed="false">
      <c r="A571" s="11" t="n">
        <v>570</v>
      </c>
      <c r="B571" s="18" t="s">
        <v>851</v>
      </c>
      <c r="C571" s="18"/>
      <c r="D571" s="22" t="s">
        <v>361</v>
      </c>
      <c r="E571" s="19" t="n">
        <v>4</v>
      </c>
      <c r="F571" s="19"/>
      <c r="G571" s="19"/>
      <c r="H571" s="19" t="n">
        <v>910000</v>
      </c>
      <c r="I571" s="14" t="n">
        <v>728000</v>
      </c>
      <c r="J571" s="14" t="n">
        <f aca="false">E571*I571</f>
        <v>2912000</v>
      </c>
      <c r="K571" s="15" t="n">
        <f aca="false">H571*80%</f>
        <v>728000</v>
      </c>
      <c r="L571" s="0"/>
    </row>
    <row r="572" s="44" customFormat="true" ht="15.75" hidden="false" customHeight="false" outlineLevel="0" collapsed="false">
      <c r="A572" s="11" t="n">
        <v>571</v>
      </c>
      <c r="B572" s="27" t="s">
        <v>852</v>
      </c>
      <c r="C572" s="18"/>
      <c r="D572" s="22" t="s">
        <v>48</v>
      </c>
      <c r="E572" s="19" t="n">
        <v>2</v>
      </c>
      <c r="F572" s="19"/>
      <c r="G572" s="19"/>
      <c r="H572" s="19" t="n">
        <v>950000</v>
      </c>
      <c r="I572" s="14" t="n">
        <v>760000</v>
      </c>
      <c r="J572" s="14" t="n">
        <f aca="false">E572*I572</f>
        <v>1520000</v>
      </c>
      <c r="K572" s="15" t="n">
        <f aca="false">H572*80%</f>
        <v>760000</v>
      </c>
      <c r="L572" s="0"/>
    </row>
    <row r="573" s="44" customFormat="true" ht="15.75" hidden="false" customHeight="false" outlineLevel="0" collapsed="false">
      <c r="A573" s="11" t="n">
        <v>572</v>
      </c>
      <c r="B573" s="18" t="s">
        <v>853</v>
      </c>
      <c r="C573" s="18"/>
      <c r="D573" s="22" t="s">
        <v>854</v>
      </c>
      <c r="E573" s="19" t="n">
        <v>3</v>
      </c>
      <c r="F573" s="19"/>
      <c r="G573" s="19"/>
      <c r="H573" s="19" t="n">
        <v>360000</v>
      </c>
      <c r="I573" s="14" t="n">
        <v>360000</v>
      </c>
      <c r="J573" s="14" t="n">
        <f aca="false">E573*I573</f>
        <v>1080000</v>
      </c>
      <c r="K573" s="15" t="n">
        <f aca="false">H573*80%</f>
        <v>288000</v>
      </c>
      <c r="L573" s="0"/>
    </row>
    <row r="574" s="44" customFormat="true" ht="15.75" hidden="false" customHeight="false" outlineLevel="0" collapsed="false">
      <c r="A574" s="11" t="n">
        <v>573</v>
      </c>
      <c r="B574" s="18" t="s">
        <v>855</v>
      </c>
      <c r="C574" s="18"/>
      <c r="D574" s="22" t="s">
        <v>48</v>
      </c>
      <c r="E574" s="19" t="n">
        <v>2</v>
      </c>
      <c r="F574" s="19"/>
      <c r="G574" s="19"/>
      <c r="H574" s="19" t="n">
        <v>1350000</v>
      </c>
      <c r="I574" s="14" t="n">
        <v>1350000</v>
      </c>
      <c r="J574" s="14" t="n">
        <f aca="false">E574*I574</f>
        <v>2700000</v>
      </c>
      <c r="K574" s="15" t="n">
        <f aca="false">H574*80%</f>
        <v>1080000</v>
      </c>
      <c r="L574" s="0"/>
    </row>
    <row r="575" s="44" customFormat="true" ht="15.75" hidden="false" customHeight="false" outlineLevel="0" collapsed="false">
      <c r="A575" s="11" t="n">
        <v>574</v>
      </c>
      <c r="B575" s="18" t="s">
        <v>856</v>
      </c>
      <c r="C575" s="18"/>
      <c r="D575" s="22" t="s">
        <v>48</v>
      </c>
      <c r="E575" s="19" t="n">
        <v>4</v>
      </c>
      <c r="F575" s="19"/>
      <c r="G575" s="19"/>
      <c r="H575" s="19" t="n">
        <v>255000</v>
      </c>
      <c r="I575" s="14" t="n">
        <v>204000</v>
      </c>
      <c r="J575" s="14" t="n">
        <f aca="false">E575*I575</f>
        <v>816000</v>
      </c>
      <c r="K575" s="15" t="n">
        <f aca="false">H575*80%</f>
        <v>204000</v>
      </c>
      <c r="L575" s="0"/>
    </row>
    <row r="576" s="44" customFormat="true" ht="15.75" hidden="false" customHeight="false" outlineLevel="0" collapsed="false">
      <c r="A576" s="11" t="n">
        <v>575</v>
      </c>
      <c r="B576" s="27" t="s">
        <v>857</v>
      </c>
      <c r="C576" s="18"/>
      <c r="D576" s="11" t="s">
        <v>48</v>
      </c>
      <c r="E576" s="19" t="n">
        <v>4</v>
      </c>
      <c r="F576" s="19"/>
      <c r="G576" s="19"/>
      <c r="H576" s="19" t="n">
        <v>1350000</v>
      </c>
      <c r="I576" s="14" t="n">
        <v>1080000</v>
      </c>
      <c r="J576" s="14" t="n">
        <f aca="false">E576*I576</f>
        <v>4320000</v>
      </c>
      <c r="K576" s="15" t="n">
        <f aca="false">H576*80%</f>
        <v>1080000</v>
      </c>
      <c r="L576" s="0"/>
    </row>
    <row r="577" s="44" customFormat="true" ht="15.75" hidden="false" customHeight="false" outlineLevel="0" collapsed="false">
      <c r="A577" s="11" t="n">
        <v>576</v>
      </c>
      <c r="B577" s="18" t="s">
        <v>858</v>
      </c>
      <c r="C577" s="18"/>
      <c r="D577" s="22" t="s">
        <v>361</v>
      </c>
      <c r="E577" s="19" t="n">
        <v>1</v>
      </c>
      <c r="F577" s="19"/>
      <c r="G577" s="19"/>
      <c r="H577" s="19" t="n">
        <v>6500000</v>
      </c>
      <c r="I577" s="14" t="n">
        <v>5200000</v>
      </c>
      <c r="J577" s="14" t="n">
        <f aca="false">E577*I577</f>
        <v>5200000</v>
      </c>
      <c r="K577" s="15" t="n">
        <f aca="false">H577*80%</f>
        <v>5200000</v>
      </c>
      <c r="L577" s="0"/>
    </row>
    <row r="578" s="44" customFormat="true" ht="15.75" hidden="false" customHeight="false" outlineLevel="0" collapsed="false">
      <c r="A578" s="11" t="n">
        <v>577</v>
      </c>
      <c r="B578" s="26" t="s">
        <v>859</v>
      </c>
      <c r="C578" s="61"/>
      <c r="D578" s="22" t="s">
        <v>156</v>
      </c>
      <c r="E578" s="19" t="n">
        <v>50</v>
      </c>
      <c r="F578" s="19"/>
      <c r="G578" s="19"/>
      <c r="H578" s="19" t="n">
        <v>73000</v>
      </c>
      <c r="I578" s="14" t="n">
        <v>58400</v>
      </c>
      <c r="J578" s="14" t="n">
        <f aca="false">E578*I578</f>
        <v>2920000</v>
      </c>
      <c r="K578" s="15" t="n">
        <f aca="false">H578*80%</f>
        <v>58400</v>
      </c>
      <c r="L578" s="0"/>
    </row>
    <row r="579" s="44" customFormat="true" ht="15.75" hidden="false" customHeight="false" outlineLevel="0" collapsed="false">
      <c r="A579" s="11" t="n">
        <v>578</v>
      </c>
      <c r="B579" s="26" t="s">
        <v>860</v>
      </c>
      <c r="C579" s="18"/>
      <c r="D579" s="22" t="s">
        <v>156</v>
      </c>
      <c r="E579" s="19" t="n">
        <v>40</v>
      </c>
      <c r="F579" s="19"/>
      <c r="G579" s="19"/>
      <c r="H579" s="19" t="n">
        <v>81000</v>
      </c>
      <c r="I579" s="14" t="n">
        <v>64800</v>
      </c>
      <c r="J579" s="14" t="n">
        <f aca="false">E579*I579</f>
        <v>2592000</v>
      </c>
      <c r="K579" s="15" t="n">
        <f aca="false">H579*80%</f>
        <v>64800</v>
      </c>
      <c r="L579" s="0"/>
    </row>
    <row r="580" s="44" customFormat="true" ht="15.75" hidden="false" customHeight="false" outlineLevel="0" collapsed="false">
      <c r="A580" s="11" t="n">
        <v>579</v>
      </c>
      <c r="B580" s="26" t="s">
        <v>861</v>
      </c>
      <c r="C580" s="18"/>
      <c r="D580" s="22" t="s">
        <v>862</v>
      </c>
      <c r="E580" s="19" t="n">
        <v>8</v>
      </c>
      <c r="F580" s="19"/>
      <c r="G580" s="19"/>
      <c r="H580" s="62" t="n">
        <v>151000</v>
      </c>
      <c r="I580" s="14" t="n">
        <v>120800</v>
      </c>
      <c r="J580" s="14" t="n">
        <f aca="false">E580*I580</f>
        <v>966400</v>
      </c>
      <c r="K580" s="15" t="n">
        <f aca="false">H580*80%</f>
        <v>120800</v>
      </c>
      <c r="L580" s="0"/>
    </row>
    <row r="581" s="44" customFormat="true" ht="15.75" hidden="false" customHeight="false" outlineLevel="0" collapsed="false">
      <c r="A581" s="11" t="n">
        <v>580</v>
      </c>
      <c r="B581" s="18" t="s">
        <v>863</v>
      </c>
      <c r="C581" s="18"/>
      <c r="D581" s="11" t="s">
        <v>48</v>
      </c>
      <c r="E581" s="19" t="n">
        <v>1</v>
      </c>
      <c r="F581" s="19"/>
      <c r="G581" s="19"/>
      <c r="H581" s="19" t="n">
        <v>1750000</v>
      </c>
      <c r="I581" s="14" t="n">
        <v>1650000</v>
      </c>
      <c r="J581" s="14" t="n">
        <f aca="false">E581*I581</f>
        <v>1650000</v>
      </c>
      <c r="K581" s="15" t="n">
        <f aca="false">H581*80%</f>
        <v>1400000</v>
      </c>
      <c r="L581" s="0"/>
    </row>
    <row r="582" s="44" customFormat="true" ht="26.85" hidden="false" customHeight="false" outlineLevel="0" collapsed="false">
      <c r="A582" s="11" t="n">
        <v>581</v>
      </c>
      <c r="B582" s="18" t="s">
        <v>864</v>
      </c>
      <c r="C582" s="18"/>
      <c r="D582" s="22" t="s">
        <v>403</v>
      </c>
      <c r="E582" s="19" t="n">
        <v>6</v>
      </c>
      <c r="F582" s="19"/>
      <c r="G582" s="19"/>
      <c r="H582" s="19" t="n">
        <v>795000</v>
      </c>
      <c r="I582" s="14" t="n">
        <v>636000</v>
      </c>
      <c r="J582" s="14" t="n">
        <f aca="false">E582*I582</f>
        <v>3816000</v>
      </c>
      <c r="K582" s="15" t="n">
        <f aca="false">H582*80%</f>
        <v>636000</v>
      </c>
      <c r="L582" s="0"/>
    </row>
    <row r="583" s="44" customFormat="true" ht="83.25" hidden="false" customHeight="true" outlineLevel="0" collapsed="false">
      <c r="A583" s="11" t="n">
        <v>582</v>
      </c>
      <c r="B583" s="18" t="s">
        <v>865</v>
      </c>
      <c r="C583" s="61"/>
      <c r="D583" s="22" t="s">
        <v>110</v>
      </c>
      <c r="E583" s="19" t="n">
        <v>10</v>
      </c>
      <c r="F583" s="19"/>
      <c r="G583" s="19"/>
      <c r="H583" s="19" t="n">
        <v>1430000</v>
      </c>
      <c r="I583" s="14" t="n">
        <v>1144000</v>
      </c>
      <c r="J583" s="14" t="n">
        <f aca="false">E583*I583</f>
        <v>11440000</v>
      </c>
      <c r="K583" s="15" t="n">
        <f aca="false">H583*80%</f>
        <v>1144000</v>
      </c>
      <c r="L583" s="0"/>
    </row>
    <row r="584" s="44" customFormat="true" ht="15.75" hidden="false" customHeight="false" outlineLevel="0" collapsed="false">
      <c r="A584" s="11" t="n">
        <v>583</v>
      </c>
      <c r="B584" s="12" t="s">
        <v>866</v>
      </c>
      <c r="C584" s="18"/>
      <c r="D584" s="22" t="s">
        <v>867</v>
      </c>
      <c r="E584" s="19" t="n">
        <v>2</v>
      </c>
      <c r="F584" s="19"/>
      <c r="G584" s="19"/>
      <c r="H584" s="19" t="n">
        <v>2250000</v>
      </c>
      <c r="I584" s="14" t="n">
        <v>1800000</v>
      </c>
      <c r="J584" s="14" t="n">
        <f aca="false">E584*I584</f>
        <v>3600000</v>
      </c>
      <c r="K584" s="15" t="n">
        <f aca="false">H584*80%</f>
        <v>1800000</v>
      </c>
      <c r="L584" s="0"/>
    </row>
    <row r="585" s="44" customFormat="true" ht="15.75" hidden="false" customHeight="false" outlineLevel="0" collapsed="false">
      <c r="A585" s="11" t="n">
        <v>584</v>
      </c>
      <c r="B585" s="26" t="s">
        <v>868</v>
      </c>
      <c r="C585" s="18"/>
      <c r="D585" s="22" t="s">
        <v>118</v>
      </c>
      <c r="E585" s="19" t="n">
        <v>5</v>
      </c>
      <c r="F585" s="19"/>
      <c r="G585" s="19"/>
      <c r="H585" s="19" t="n">
        <v>3250000</v>
      </c>
      <c r="I585" s="14" t="n">
        <v>2600000</v>
      </c>
      <c r="J585" s="14" t="n">
        <f aca="false">E585*I585</f>
        <v>13000000</v>
      </c>
      <c r="K585" s="15" t="n">
        <f aca="false">H585*80%</f>
        <v>2600000</v>
      </c>
      <c r="L585" s="0"/>
    </row>
    <row r="586" s="44" customFormat="true" ht="15.75" hidden="false" customHeight="false" outlineLevel="0" collapsed="false">
      <c r="A586" s="11" t="n">
        <v>585</v>
      </c>
      <c r="B586" s="26" t="s">
        <v>869</v>
      </c>
      <c r="C586" s="18"/>
      <c r="D586" s="22" t="s">
        <v>118</v>
      </c>
      <c r="E586" s="19" t="n">
        <v>2</v>
      </c>
      <c r="F586" s="19"/>
      <c r="G586" s="19"/>
      <c r="H586" s="19" t="n">
        <v>1850000</v>
      </c>
      <c r="I586" s="14" t="n">
        <v>1480000</v>
      </c>
      <c r="J586" s="14" t="n">
        <f aca="false">E586*I586</f>
        <v>2960000</v>
      </c>
      <c r="K586" s="15" t="n">
        <f aca="false">H586*80%</f>
        <v>1480000</v>
      </c>
      <c r="L586" s="0"/>
    </row>
    <row r="587" s="44" customFormat="true" ht="15.75" hidden="false" customHeight="false" outlineLevel="0" collapsed="false">
      <c r="A587" s="11" t="n">
        <v>586</v>
      </c>
      <c r="B587" s="26" t="s">
        <v>870</v>
      </c>
      <c r="C587" s="18"/>
      <c r="D587" s="22" t="s">
        <v>118</v>
      </c>
      <c r="E587" s="19" t="n">
        <v>5</v>
      </c>
      <c r="F587" s="19"/>
      <c r="G587" s="19"/>
      <c r="H587" s="19" t="n">
        <v>630000</v>
      </c>
      <c r="I587" s="14" t="n">
        <v>504000</v>
      </c>
      <c r="J587" s="14" t="n">
        <f aca="false">E587*I587</f>
        <v>2520000</v>
      </c>
      <c r="K587" s="15" t="n">
        <f aca="false">H587*80%</f>
        <v>504000</v>
      </c>
      <c r="L587" s="0"/>
    </row>
    <row r="588" s="44" customFormat="true" ht="15.75" hidden="false" customHeight="false" outlineLevel="0" collapsed="false">
      <c r="A588" s="11" t="n">
        <v>587</v>
      </c>
      <c r="B588" s="26" t="s">
        <v>871</v>
      </c>
      <c r="C588" s="18"/>
      <c r="D588" s="22" t="s">
        <v>361</v>
      </c>
      <c r="E588" s="19" t="n">
        <v>3</v>
      </c>
      <c r="F588" s="19"/>
      <c r="G588" s="19"/>
      <c r="H588" s="19" t="n">
        <v>2700000</v>
      </c>
      <c r="I588" s="14" t="n">
        <v>2160000</v>
      </c>
      <c r="J588" s="14" t="n">
        <f aca="false">E588*I588</f>
        <v>6480000</v>
      </c>
      <c r="K588" s="15" t="n">
        <f aca="false">H588*80%</f>
        <v>2160000</v>
      </c>
      <c r="L588" s="0"/>
    </row>
    <row r="589" s="44" customFormat="true" ht="15.75" hidden="false" customHeight="false" outlineLevel="0" collapsed="false">
      <c r="A589" s="11" t="n">
        <v>588</v>
      </c>
      <c r="B589" s="12" t="s">
        <v>872</v>
      </c>
      <c r="C589" s="18"/>
      <c r="D589" s="11" t="s">
        <v>338</v>
      </c>
      <c r="E589" s="13" t="n">
        <v>20</v>
      </c>
      <c r="F589" s="13"/>
      <c r="G589" s="13"/>
      <c r="H589" s="13" t="n">
        <v>165000</v>
      </c>
      <c r="I589" s="14" t="n">
        <v>132000</v>
      </c>
      <c r="J589" s="14" t="n">
        <f aca="false">E589*I589</f>
        <v>2640000</v>
      </c>
      <c r="K589" s="15" t="n">
        <f aca="false">H589*80%</f>
        <v>132000</v>
      </c>
      <c r="L589" s="0"/>
    </row>
    <row r="590" s="44" customFormat="true" ht="15.75" hidden="false" customHeight="false" outlineLevel="0" collapsed="false">
      <c r="A590" s="11" t="n">
        <v>589</v>
      </c>
      <c r="B590" s="12" t="s">
        <v>873</v>
      </c>
      <c r="C590" s="18"/>
      <c r="D590" s="11" t="s">
        <v>338</v>
      </c>
      <c r="E590" s="13" t="n">
        <v>20</v>
      </c>
      <c r="F590" s="13"/>
      <c r="G590" s="13"/>
      <c r="H590" s="13" t="n">
        <v>105000</v>
      </c>
      <c r="I590" s="14" t="n">
        <v>84000</v>
      </c>
      <c r="J590" s="14" t="n">
        <f aca="false">E590*I590</f>
        <v>1680000</v>
      </c>
      <c r="K590" s="15" t="n">
        <f aca="false">H590*80%</f>
        <v>84000</v>
      </c>
      <c r="L590" s="0"/>
    </row>
    <row r="591" s="44" customFormat="true" ht="15.75" hidden="false" customHeight="false" outlineLevel="0" collapsed="false">
      <c r="A591" s="11" t="n">
        <v>590</v>
      </c>
      <c r="B591" s="26" t="s">
        <v>874</v>
      </c>
      <c r="C591" s="18"/>
      <c r="D591" s="22" t="s">
        <v>118</v>
      </c>
      <c r="E591" s="19" t="n">
        <v>2</v>
      </c>
      <c r="F591" s="19"/>
      <c r="G591" s="19"/>
      <c r="H591" s="19" t="n">
        <v>530000</v>
      </c>
      <c r="I591" s="14" t="n">
        <v>424000</v>
      </c>
      <c r="J591" s="14" t="n">
        <f aca="false">E591*I591</f>
        <v>848000</v>
      </c>
      <c r="K591" s="15" t="n">
        <f aca="false">H591*80%</f>
        <v>424000</v>
      </c>
      <c r="L591" s="0"/>
    </row>
    <row r="592" s="44" customFormat="true" ht="15.75" hidden="false" customHeight="false" outlineLevel="0" collapsed="false">
      <c r="A592" s="11" t="n">
        <v>591</v>
      </c>
      <c r="B592" s="26" t="s">
        <v>875</v>
      </c>
      <c r="C592" s="53"/>
      <c r="D592" s="22" t="s">
        <v>118</v>
      </c>
      <c r="E592" s="19" t="n">
        <v>3</v>
      </c>
      <c r="F592" s="19"/>
      <c r="G592" s="19"/>
      <c r="H592" s="19" t="n">
        <v>355000</v>
      </c>
      <c r="I592" s="14" t="n">
        <v>284000</v>
      </c>
      <c r="J592" s="14" t="n">
        <f aca="false">E592*I592</f>
        <v>852000</v>
      </c>
      <c r="K592" s="15" t="n">
        <f aca="false">H592*80%</f>
        <v>284000</v>
      </c>
      <c r="L592" s="0"/>
    </row>
    <row r="593" s="44" customFormat="true" ht="15.75" hidden="false" customHeight="false" outlineLevel="0" collapsed="false">
      <c r="A593" s="11" t="n">
        <v>592</v>
      </c>
      <c r="B593" s="26" t="s">
        <v>876</v>
      </c>
      <c r="C593" s="18"/>
      <c r="D593" s="22" t="s">
        <v>118</v>
      </c>
      <c r="E593" s="19" t="n">
        <v>2</v>
      </c>
      <c r="F593" s="19"/>
      <c r="G593" s="19"/>
      <c r="H593" s="19" t="n">
        <v>1275000</v>
      </c>
      <c r="I593" s="14" t="n">
        <v>1020000</v>
      </c>
      <c r="J593" s="14" t="n">
        <f aca="false">E593*I593</f>
        <v>2040000</v>
      </c>
      <c r="K593" s="15" t="n">
        <f aca="false">H593*80%</f>
        <v>1020000</v>
      </c>
      <c r="L593" s="0"/>
    </row>
    <row r="594" s="44" customFormat="true" ht="15.75" hidden="false" customHeight="false" outlineLevel="0" collapsed="false">
      <c r="A594" s="11" t="n">
        <v>593</v>
      </c>
      <c r="B594" s="26" t="s">
        <v>877</v>
      </c>
      <c r="C594" s="18"/>
      <c r="D594" s="22" t="s">
        <v>118</v>
      </c>
      <c r="E594" s="19" t="n">
        <v>3</v>
      </c>
      <c r="F594" s="19"/>
      <c r="G594" s="19"/>
      <c r="H594" s="19" t="n">
        <v>1350000</v>
      </c>
      <c r="I594" s="14" t="n">
        <v>1080000</v>
      </c>
      <c r="J594" s="14" t="n">
        <f aca="false">E594*I594</f>
        <v>3240000</v>
      </c>
      <c r="K594" s="15" t="n">
        <f aca="false">H594*80%</f>
        <v>1080000</v>
      </c>
      <c r="L594" s="0"/>
    </row>
    <row r="595" s="44" customFormat="true" ht="15.75" hidden="false" customHeight="false" outlineLevel="0" collapsed="false">
      <c r="A595" s="11" t="n">
        <v>594</v>
      </c>
      <c r="B595" s="26" t="s">
        <v>878</v>
      </c>
      <c r="C595" s="18"/>
      <c r="D595" s="22" t="s">
        <v>118</v>
      </c>
      <c r="E595" s="19" t="n">
        <v>2</v>
      </c>
      <c r="F595" s="19"/>
      <c r="G595" s="19"/>
      <c r="H595" s="19" t="n">
        <v>5850000</v>
      </c>
      <c r="I595" s="14" t="n">
        <v>4680000</v>
      </c>
      <c r="J595" s="14" t="n">
        <f aca="false">E595*I595</f>
        <v>9360000</v>
      </c>
      <c r="K595" s="15" t="n">
        <f aca="false">H595*80%</f>
        <v>4680000</v>
      </c>
      <c r="L595" s="0"/>
    </row>
    <row r="596" s="44" customFormat="true" ht="15.75" hidden="false" customHeight="false" outlineLevel="0" collapsed="false">
      <c r="A596" s="11" t="n">
        <v>595</v>
      </c>
      <c r="B596" s="18" t="s">
        <v>879</v>
      </c>
      <c r="C596" s="18"/>
      <c r="D596" s="22" t="s">
        <v>46</v>
      </c>
      <c r="E596" s="19" t="n">
        <v>10</v>
      </c>
      <c r="F596" s="19"/>
      <c r="G596" s="19"/>
      <c r="H596" s="19" t="n">
        <v>68000</v>
      </c>
      <c r="I596" s="14" t="n">
        <v>54400</v>
      </c>
      <c r="J596" s="14" t="n">
        <f aca="false">E596*I596</f>
        <v>544000</v>
      </c>
      <c r="K596" s="15" t="n">
        <f aca="false">H596*80%</f>
        <v>54400</v>
      </c>
      <c r="L596" s="0"/>
    </row>
    <row r="597" s="44" customFormat="true" ht="15.75" hidden="false" customHeight="false" outlineLevel="0" collapsed="false">
      <c r="A597" s="11" t="n">
        <v>596</v>
      </c>
      <c r="B597" s="12" t="s">
        <v>880</v>
      </c>
      <c r="C597" s="18"/>
      <c r="D597" s="11" t="s">
        <v>338</v>
      </c>
      <c r="E597" s="13" t="n">
        <v>5</v>
      </c>
      <c r="F597" s="13"/>
      <c r="G597" s="13"/>
      <c r="H597" s="13" t="n">
        <v>125000</v>
      </c>
      <c r="I597" s="14" t="n">
        <v>100000</v>
      </c>
      <c r="J597" s="14" t="n">
        <f aca="false">E597*I597</f>
        <v>500000</v>
      </c>
      <c r="K597" s="15" t="n">
        <f aca="false">H597*80%</f>
        <v>100000</v>
      </c>
      <c r="L597" s="0"/>
    </row>
    <row r="598" s="44" customFormat="true" ht="15.75" hidden="false" customHeight="false" outlineLevel="0" collapsed="false">
      <c r="A598" s="11" t="n">
        <v>597</v>
      </c>
      <c r="B598" s="26" t="s">
        <v>881</v>
      </c>
      <c r="C598" s="18"/>
      <c r="D598" s="22" t="s">
        <v>48</v>
      </c>
      <c r="E598" s="19" t="n">
        <v>10</v>
      </c>
      <c r="F598" s="19"/>
      <c r="G598" s="19"/>
      <c r="H598" s="19" t="n">
        <v>335000</v>
      </c>
      <c r="I598" s="14" t="n">
        <v>268000</v>
      </c>
      <c r="J598" s="14" t="n">
        <f aca="false">E598*I598</f>
        <v>2680000</v>
      </c>
      <c r="K598" s="15" t="n">
        <f aca="false">H598*80%</f>
        <v>268000</v>
      </c>
      <c r="L598" s="0"/>
    </row>
    <row r="599" s="44" customFormat="true" ht="26.85" hidden="false" customHeight="false" outlineLevel="0" collapsed="false">
      <c r="A599" s="11" t="n">
        <v>598</v>
      </c>
      <c r="B599" s="18" t="s">
        <v>882</v>
      </c>
      <c r="C599" s="61"/>
      <c r="D599" s="22" t="s">
        <v>883</v>
      </c>
      <c r="E599" s="19" t="n">
        <v>200</v>
      </c>
      <c r="F599" s="19"/>
      <c r="G599" s="19"/>
      <c r="H599" s="19" t="n">
        <v>8000</v>
      </c>
      <c r="I599" s="14" t="n">
        <v>6400</v>
      </c>
      <c r="J599" s="14" t="n">
        <f aca="false">E599*I599</f>
        <v>1280000</v>
      </c>
      <c r="K599" s="15" t="n">
        <f aca="false">H599*80%</f>
        <v>6400</v>
      </c>
      <c r="L599" s="0"/>
    </row>
    <row r="600" s="44" customFormat="true" ht="15.75" hidden="false" customHeight="false" outlineLevel="0" collapsed="false">
      <c r="A600" s="11" t="n">
        <v>599</v>
      </c>
      <c r="B600" s="18" t="s">
        <v>884</v>
      </c>
      <c r="C600" s="18"/>
      <c r="D600" s="22" t="s">
        <v>490</v>
      </c>
      <c r="E600" s="19" t="n">
        <v>100</v>
      </c>
      <c r="F600" s="19"/>
      <c r="G600" s="19"/>
      <c r="H600" s="19" t="n">
        <v>173000</v>
      </c>
      <c r="I600" s="14" t="n">
        <v>70000</v>
      </c>
      <c r="J600" s="14" t="n">
        <f aca="false">E600*I600</f>
        <v>7000000</v>
      </c>
      <c r="K600" s="15" t="n">
        <f aca="false">H600*80%</f>
        <v>138400</v>
      </c>
      <c r="L600" s="0"/>
    </row>
    <row r="601" s="44" customFormat="true" ht="15.75" hidden="false" customHeight="false" outlineLevel="0" collapsed="false">
      <c r="A601" s="11" t="n">
        <v>600</v>
      </c>
      <c r="B601" s="26" t="s">
        <v>885</v>
      </c>
      <c r="C601" s="18"/>
      <c r="D601" s="22" t="s">
        <v>490</v>
      </c>
      <c r="E601" s="19" t="n">
        <v>20</v>
      </c>
      <c r="F601" s="19"/>
      <c r="G601" s="19"/>
      <c r="H601" s="19" t="n">
        <v>125000</v>
      </c>
      <c r="I601" s="14" t="n">
        <v>100000</v>
      </c>
      <c r="J601" s="14" t="n">
        <f aca="false">E601*I601</f>
        <v>2000000</v>
      </c>
      <c r="K601" s="15" t="n">
        <f aca="false">H601*80%</f>
        <v>100000</v>
      </c>
      <c r="L601" s="0"/>
    </row>
    <row r="602" s="20" customFormat="true" ht="19.5" hidden="false" customHeight="true" outlineLevel="0" collapsed="false">
      <c r="A602" s="11" t="n">
        <v>601</v>
      </c>
      <c r="B602" s="26" t="s">
        <v>886</v>
      </c>
      <c r="C602" s="12"/>
      <c r="D602" s="22" t="s">
        <v>490</v>
      </c>
      <c r="E602" s="19" t="n">
        <v>10</v>
      </c>
      <c r="F602" s="19"/>
      <c r="G602" s="19"/>
      <c r="H602" s="19" t="n">
        <v>45000</v>
      </c>
      <c r="I602" s="14" t="n">
        <v>36000</v>
      </c>
      <c r="J602" s="14" t="n">
        <f aca="false">E602*I602</f>
        <v>360000</v>
      </c>
      <c r="K602" s="15" t="n">
        <f aca="false">H602*80%</f>
        <v>36000</v>
      </c>
      <c r="L602" s="0"/>
    </row>
    <row r="603" s="20" customFormat="true" ht="19.5" hidden="false" customHeight="true" outlineLevel="0" collapsed="false">
      <c r="A603" s="11" t="n">
        <v>602</v>
      </c>
      <c r="B603" s="26" t="s">
        <v>887</v>
      </c>
      <c r="C603" s="12"/>
      <c r="D603" s="22" t="s">
        <v>824</v>
      </c>
      <c r="E603" s="19" t="n">
        <v>30</v>
      </c>
      <c r="F603" s="19"/>
      <c r="G603" s="19"/>
      <c r="H603" s="19" t="n">
        <v>155000</v>
      </c>
      <c r="I603" s="14" t="n">
        <v>124000</v>
      </c>
      <c r="J603" s="14" t="n">
        <f aca="false">E603*I603</f>
        <v>3720000</v>
      </c>
      <c r="K603" s="15" t="n">
        <f aca="false">H603*80%</f>
        <v>124000</v>
      </c>
      <c r="L603" s="0"/>
    </row>
    <row r="604" s="20" customFormat="true" ht="19.5" hidden="false" customHeight="true" outlineLevel="0" collapsed="false">
      <c r="A604" s="11" t="n">
        <v>603</v>
      </c>
      <c r="B604" s="26" t="s">
        <v>888</v>
      </c>
      <c r="C604" s="12"/>
      <c r="D604" s="22" t="s">
        <v>889</v>
      </c>
      <c r="E604" s="19" t="n">
        <v>300</v>
      </c>
      <c r="F604" s="19"/>
      <c r="G604" s="19"/>
      <c r="H604" s="19" t="n">
        <v>72000</v>
      </c>
      <c r="I604" s="14" t="n">
        <v>57600</v>
      </c>
      <c r="J604" s="14" t="n">
        <f aca="false">E604*I604</f>
        <v>17280000</v>
      </c>
      <c r="K604" s="15" t="n">
        <f aca="false">H604*80%</f>
        <v>57600</v>
      </c>
      <c r="L604" s="0"/>
    </row>
    <row r="605" s="20" customFormat="true" ht="19.5" hidden="false" customHeight="true" outlineLevel="0" collapsed="false">
      <c r="A605" s="11" t="n">
        <v>604</v>
      </c>
      <c r="B605" s="26" t="s">
        <v>890</v>
      </c>
      <c r="C605" s="12"/>
      <c r="D605" s="22" t="s">
        <v>300</v>
      </c>
      <c r="E605" s="19" t="n">
        <v>430</v>
      </c>
      <c r="F605" s="19"/>
      <c r="G605" s="19"/>
      <c r="H605" s="19" t="n">
        <v>22000</v>
      </c>
      <c r="I605" s="14" t="n">
        <v>17600</v>
      </c>
      <c r="J605" s="14" t="n">
        <f aca="false">E605*I605</f>
        <v>7568000</v>
      </c>
      <c r="K605" s="15" t="n">
        <f aca="false">H605*80%</f>
        <v>17600</v>
      </c>
      <c r="L605" s="0"/>
    </row>
    <row r="606" s="44" customFormat="true" ht="15.75" hidden="false" customHeight="false" outlineLevel="0" collapsed="false">
      <c r="A606" s="11" t="n">
        <v>605</v>
      </c>
      <c r="B606" s="26" t="s">
        <v>891</v>
      </c>
      <c r="C606" s="12"/>
      <c r="D606" s="22" t="s">
        <v>48</v>
      </c>
      <c r="E606" s="19" t="n">
        <v>150</v>
      </c>
      <c r="F606" s="19"/>
      <c r="G606" s="19"/>
      <c r="H606" s="19" t="n">
        <v>55000</v>
      </c>
      <c r="I606" s="14" t="n">
        <v>44000</v>
      </c>
      <c r="J606" s="14" t="n">
        <f aca="false">E606*I606</f>
        <v>6600000</v>
      </c>
      <c r="K606" s="15" t="n">
        <f aca="false">H606*80%</f>
        <v>44000</v>
      </c>
      <c r="L606" s="0"/>
    </row>
    <row r="607" s="44" customFormat="true" ht="15.75" hidden="false" customHeight="false" outlineLevel="0" collapsed="false">
      <c r="A607" s="11" t="n">
        <v>606</v>
      </c>
      <c r="B607" s="18" t="s">
        <v>892</v>
      </c>
      <c r="C607" s="12"/>
      <c r="D607" s="22" t="s">
        <v>48</v>
      </c>
      <c r="E607" s="19" t="n">
        <v>50</v>
      </c>
      <c r="F607" s="19"/>
      <c r="G607" s="19"/>
      <c r="H607" s="19" t="n">
        <v>85000</v>
      </c>
      <c r="I607" s="14" t="n">
        <v>60000</v>
      </c>
      <c r="J607" s="14" t="n">
        <f aca="false">E607*I607</f>
        <v>3000000</v>
      </c>
      <c r="K607" s="15" t="n">
        <f aca="false">H607*80%</f>
        <v>68000</v>
      </c>
      <c r="L607" s="0"/>
    </row>
    <row r="608" s="20" customFormat="true" ht="19.5" hidden="false" customHeight="true" outlineLevel="0" collapsed="false">
      <c r="A608" s="11" t="n">
        <v>607</v>
      </c>
      <c r="B608" s="26" t="s">
        <v>893</v>
      </c>
      <c r="C608" s="12"/>
      <c r="D608" s="22" t="s">
        <v>300</v>
      </c>
      <c r="E608" s="19" t="n">
        <v>50</v>
      </c>
      <c r="F608" s="19"/>
      <c r="G608" s="19"/>
      <c r="H608" s="19" t="n">
        <v>62000</v>
      </c>
      <c r="I608" s="14" t="n">
        <v>49600</v>
      </c>
      <c r="J608" s="14" t="n">
        <f aca="false">E608*I608</f>
        <v>2480000</v>
      </c>
      <c r="K608" s="15" t="n">
        <f aca="false">H608*80%</f>
        <v>49600</v>
      </c>
      <c r="L608" s="0"/>
    </row>
    <row r="609" s="20" customFormat="true" ht="19.5" hidden="false" customHeight="true" outlineLevel="0" collapsed="false">
      <c r="A609" s="11" t="n">
        <v>608</v>
      </c>
      <c r="B609" s="26" t="s">
        <v>894</v>
      </c>
      <c r="C609" s="12"/>
      <c r="D609" s="22" t="s">
        <v>48</v>
      </c>
      <c r="E609" s="19" t="n">
        <v>10</v>
      </c>
      <c r="F609" s="19"/>
      <c r="G609" s="19"/>
      <c r="H609" s="19" t="n">
        <v>315000</v>
      </c>
      <c r="I609" s="14" t="n">
        <v>252000</v>
      </c>
      <c r="J609" s="14" t="n">
        <f aca="false">E609*I609</f>
        <v>2520000</v>
      </c>
      <c r="K609" s="15" t="n">
        <f aca="false">H609*80%</f>
        <v>252000</v>
      </c>
      <c r="L609" s="0"/>
    </row>
    <row r="610" s="20" customFormat="true" ht="30" hidden="false" customHeight="true" outlineLevel="0" collapsed="false">
      <c r="A610" s="11" t="n">
        <v>609</v>
      </c>
      <c r="B610" s="26" t="s">
        <v>895</v>
      </c>
      <c r="C610" s="12"/>
      <c r="D610" s="22" t="s">
        <v>300</v>
      </c>
      <c r="E610" s="19" t="n">
        <v>22</v>
      </c>
      <c r="F610" s="19"/>
      <c r="G610" s="19"/>
      <c r="H610" s="19" t="n">
        <v>125000</v>
      </c>
      <c r="I610" s="14" t="n">
        <v>100000</v>
      </c>
      <c r="J610" s="14" t="n">
        <f aca="false">E610*I610</f>
        <v>2200000</v>
      </c>
      <c r="K610" s="15" t="n">
        <f aca="false">H610*80%</f>
        <v>100000</v>
      </c>
      <c r="L610" s="0"/>
    </row>
    <row r="611" s="44" customFormat="true" ht="15.75" hidden="false" customHeight="false" outlineLevel="0" collapsed="false">
      <c r="A611" s="11" t="n">
        <v>610</v>
      </c>
      <c r="B611" s="18" t="s">
        <v>896</v>
      </c>
      <c r="C611" s="18"/>
      <c r="D611" s="22" t="s">
        <v>862</v>
      </c>
      <c r="E611" s="19" t="n">
        <v>15</v>
      </c>
      <c r="F611" s="19"/>
      <c r="G611" s="19"/>
      <c r="H611" s="62" t="n">
        <v>185000</v>
      </c>
      <c r="I611" s="14" t="n">
        <v>90000</v>
      </c>
      <c r="J611" s="14" t="n">
        <f aca="false">E611*I611</f>
        <v>1350000</v>
      </c>
      <c r="K611" s="15" t="n">
        <f aca="false">H611*80%</f>
        <v>148000</v>
      </c>
      <c r="L611" s="0"/>
    </row>
    <row r="612" s="44" customFormat="true" ht="15.75" hidden="false" customHeight="false" outlineLevel="0" collapsed="false">
      <c r="A612" s="11" t="n">
        <v>611</v>
      </c>
      <c r="B612" s="26" t="s">
        <v>897</v>
      </c>
      <c r="C612" s="18"/>
      <c r="D612" s="22" t="s">
        <v>490</v>
      </c>
      <c r="E612" s="19" t="n">
        <v>4</v>
      </c>
      <c r="F612" s="19"/>
      <c r="G612" s="19"/>
      <c r="H612" s="63" t="n">
        <v>153000</v>
      </c>
      <c r="I612" s="14" t="n">
        <v>122400</v>
      </c>
      <c r="J612" s="14" t="n">
        <f aca="false">E612*I612</f>
        <v>489600</v>
      </c>
      <c r="K612" s="15" t="n">
        <f aca="false">H612*80%</f>
        <v>122400</v>
      </c>
      <c r="L612" s="0"/>
    </row>
    <row r="613" s="44" customFormat="true" ht="15.75" hidden="false" customHeight="false" outlineLevel="0" collapsed="false">
      <c r="A613" s="11" t="n">
        <v>612</v>
      </c>
      <c r="B613" s="26" t="s">
        <v>898</v>
      </c>
      <c r="C613" s="18"/>
      <c r="D613" s="22" t="s">
        <v>490</v>
      </c>
      <c r="E613" s="19" t="n">
        <v>3</v>
      </c>
      <c r="F613" s="19"/>
      <c r="G613" s="19"/>
      <c r="H613" s="64" t="n">
        <v>255000</v>
      </c>
      <c r="I613" s="14" t="n">
        <v>204000</v>
      </c>
      <c r="J613" s="14" t="n">
        <f aca="false">E613*I613</f>
        <v>612000</v>
      </c>
      <c r="K613" s="15" t="n">
        <f aca="false">H613*80%</f>
        <v>204000</v>
      </c>
      <c r="L613" s="0"/>
    </row>
    <row r="614" s="44" customFormat="true" ht="15.75" hidden="false" customHeight="false" outlineLevel="0" collapsed="false">
      <c r="A614" s="11" t="n">
        <v>613</v>
      </c>
      <c r="B614" s="26" t="s">
        <v>899</v>
      </c>
      <c r="C614" s="61"/>
      <c r="D614" s="22" t="s">
        <v>490</v>
      </c>
      <c r="E614" s="19" t="n">
        <v>38</v>
      </c>
      <c r="F614" s="19"/>
      <c r="G614" s="19"/>
      <c r="H614" s="64" t="n">
        <v>235000</v>
      </c>
      <c r="I614" s="14" t="n">
        <v>235000</v>
      </c>
      <c r="J614" s="14" t="n">
        <f aca="false">E614*I614</f>
        <v>8930000</v>
      </c>
      <c r="K614" s="15" t="n">
        <f aca="false">H614*80%</f>
        <v>188000</v>
      </c>
      <c r="L614" s="0"/>
    </row>
    <row r="615" s="44" customFormat="true" ht="15.75" hidden="false" customHeight="false" outlineLevel="0" collapsed="false">
      <c r="A615" s="11" t="n">
        <v>614</v>
      </c>
      <c r="B615" s="18" t="s">
        <v>900</v>
      </c>
      <c r="C615" s="18"/>
      <c r="D615" s="22" t="s">
        <v>889</v>
      </c>
      <c r="E615" s="19" t="n">
        <v>400</v>
      </c>
      <c r="F615" s="19"/>
      <c r="G615" s="19"/>
      <c r="H615" s="19" t="n">
        <v>22000</v>
      </c>
      <c r="I615" s="14" t="n">
        <v>22000</v>
      </c>
      <c r="J615" s="14" t="n">
        <f aca="false">E615*I615</f>
        <v>8800000</v>
      </c>
      <c r="K615" s="15" t="n">
        <f aca="false">H615*80%</f>
        <v>17600</v>
      </c>
      <c r="L615" s="0"/>
    </row>
    <row r="616" s="44" customFormat="true" ht="15.75" hidden="false" customHeight="false" outlineLevel="0" collapsed="false">
      <c r="A616" s="11" t="n">
        <v>615</v>
      </c>
      <c r="B616" s="18" t="s">
        <v>901</v>
      </c>
      <c r="C616" s="18"/>
      <c r="D616" s="22" t="s">
        <v>889</v>
      </c>
      <c r="E616" s="19" t="n">
        <v>300</v>
      </c>
      <c r="F616" s="19"/>
      <c r="G616" s="19"/>
      <c r="H616" s="19" t="n">
        <v>25000</v>
      </c>
      <c r="I616" s="14" t="n">
        <v>25000</v>
      </c>
      <c r="J616" s="14" t="n">
        <f aca="false">E616*I616</f>
        <v>7500000</v>
      </c>
      <c r="K616" s="15" t="n">
        <f aca="false">H616*80%</f>
        <v>20000</v>
      </c>
      <c r="L616" s="0"/>
    </row>
    <row r="617" s="44" customFormat="true" ht="15.75" hidden="false" customHeight="false" outlineLevel="0" collapsed="false">
      <c r="A617" s="11" t="n">
        <v>616</v>
      </c>
      <c r="B617" s="18" t="s">
        <v>902</v>
      </c>
      <c r="C617" s="61"/>
      <c r="D617" s="22" t="s">
        <v>903</v>
      </c>
      <c r="E617" s="19" t="n">
        <v>20</v>
      </c>
      <c r="F617" s="19"/>
      <c r="G617" s="19"/>
      <c r="H617" s="19" t="n">
        <v>135000</v>
      </c>
      <c r="I617" s="14" t="n">
        <v>135000</v>
      </c>
      <c r="J617" s="14" t="n">
        <f aca="false">E617*I617</f>
        <v>2700000</v>
      </c>
      <c r="K617" s="15" t="n">
        <f aca="false">H617*80%</f>
        <v>108000</v>
      </c>
      <c r="L617" s="0"/>
    </row>
    <row r="618" s="20" customFormat="true" ht="19.5" hidden="false" customHeight="true" outlineLevel="0" collapsed="false">
      <c r="A618" s="11" t="n">
        <v>617</v>
      </c>
      <c r="B618" s="26" t="s">
        <v>904</v>
      </c>
      <c r="C618" s="12"/>
      <c r="D618" s="22" t="s">
        <v>889</v>
      </c>
      <c r="E618" s="19" t="n">
        <v>20</v>
      </c>
      <c r="F618" s="19"/>
      <c r="G618" s="19"/>
      <c r="H618" s="19" t="n">
        <v>175000</v>
      </c>
      <c r="I618" s="14" t="n">
        <v>140000</v>
      </c>
      <c r="J618" s="14" t="n">
        <f aca="false">E618*I618</f>
        <v>2800000</v>
      </c>
      <c r="K618" s="15" t="n">
        <f aca="false">H618*80%</f>
        <v>140000</v>
      </c>
      <c r="L618" s="0"/>
    </row>
    <row r="619" customFormat="false" ht="15.75" hidden="false" customHeight="true" outlineLevel="0" collapsed="false">
      <c r="A619" s="11"/>
      <c r="B619" s="18"/>
      <c r="C619" s="12"/>
      <c r="D619" s="18"/>
      <c r="E619" s="13"/>
      <c r="F619" s="13"/>
      <c r="G619" s="13"/>
      <c r="H619" s="13"/>
      <c r="I619" s="14"/>
      <c r="J619" s="65" t="n">
        <f aca="false">SUM(J2:J618)</f>
        <v>3197470640</v>
      </c>
    </row>
    <row r="620" customFormat="false" ht="15.75" hidden="false" customHeight="true" outlineLevel="0" collapsed="false">
      <c r="I620" s="66"/>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5">
    <mergeCell ref="B256:B261"/>
    <mergeCell ref="B262:B267"/>
    <mergeCell ref="B280:B281"/>
    <mergeCell ref="B283:B297"/>
    <mergeCell ref="B298:B301"/>
    <mergeCell ref="B302:B309"/>
    <mergeCell ref="B341:B343"/>
    <mergeCell ref="B345:B347"/>
    <mergeCell ref="B348:B379"/>
    <mergeCell ref="B380:B381"/>
    <mergeCell ref="B387:B397"/>
    <mergeCell ref="B398:B400"/>
    <mergeCell ref="B401:B402"/>
    <mergeCell ref="B403:B410"/>
    <mergeCell ref="B414:B425"/>
    <mergeCell ref="B426:B429"/>
    <mergeCell ref="B430:B437"/>
    <mergeCell ref="B438:B440"/>
    <mergeCell ref="B441:B445"/>
    <mergeCell ref="B446:B465"/>
    <mergeCell ref="B488:B489"/>
    <mergeCell ref="B516:B517"/>
    <mergeCell ref="B548:B551"/>
    <mergeCell ref="B556:B557"/>
    <mergeCell ref="B559:B562"/>
  </mergeCells>
  <conditionalFormatting sqref="B383">
    <cfRule type="duplicateValues" priority="2" aboveAverage="0" equalAverage="0" bottom="0" percent="0" rank="0" text="" dxfId="0"/>
    <cfRule type="duplicateValues" priority="3" aboveAverage="0" equalAverage="0" bottom="0" percent="0" rank="0" text="" dxfId="1"/>
  </conditionalFormatting>
  <conditionalFormatting sqref="B231:B239">
    <cfRule type="containsText" priority="4" operator="containsText" aboveAverage="0" equalAverage="0" bottom="0" percent="0" rank="0" text="Dây điện màu đen 0.75mm VCm0.75" dxfId="2">
      <formula>NOT(ISERROR(SEARCH("Dây điện màu đen 0.75mm VCm0.75",B231)))</formula>
    </cfRule>
  </conditionalFormatting>
  <conditionalFormatting sqref="B21 B7 B28:B31 B40:B46 B62 B64 B75 C93 B93:B95 B98:C99 B114 C124 B123:B125 B127:B128 B135 B160 B169 B240 B243:B246 B51:B52 B248:B255 B332:B333 B382:C382 B384:B387 B318:B325 B398 B490 B508 B519 B521:B529 C387 B553 B567:B570 B572:B575 B584:B588 B483 B515 B468 B591:B595 B606 B608 B531:B547 B411 B330 B612:B614 B577:B580 B598:B599 B601 C206 C398:C399 C417:C423 C435:C436 C425 C522 E124:H124">
    <cfRule type="duplicateValues" priority="5" aboveAverage="0" equalAverage="0" bottom="0" percent="0" rank="0" text="" dxfId="3"/>
  </conditionalFormatting>
  <hyperlinks>
    <hyperlink ref="F32" r:id="rId1" display="SUNGHO"/>
    <hyperlink ref="F33" r:id="rId2" display="SUNGHO"/>
  </hyperlinks>
  <printOptions headings="false" gridLines="false" gridLinesSet="true" horizontalCentered="false" verticalCentered="false"/>
  <pageMargins left="0.315277777777778" right="0.315277777777778" top="0.354166666666667" bottom="0.354166666666667"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2024-11-04T07:06:00Z</dcterms:created>
  <dc:creator>Admin</dc:creator>
  <dc:description/>
  <dc:language>en-US</dc:language>
  <cp:lastModifiedBy/>
  <cp:lastPrinted>2025-02-26T07:09:00Z</cp:lastPrinted>
  <dcterms:modified xsi:type="dcterms:W3CDTF">2026-06-08T14:04:27Z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844056BB1F4345BAAA90431D08501844_13</vt:lpwstr>
  </property>
  <property fmtid="{D5CDD505-2E9C-101B-9397-08002B2CF9AE}" pid="3" name="KSOProductBuildVer">
    <vt:lpwstr>1033-12.2.0.20326</vt:lpwstr>
  </property>
</Properties>
</file>