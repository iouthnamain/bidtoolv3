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 OPT 3020\Desktop\"/>
    </mc:Choice>
  </mc:AlternateContent>
  <bookViews>
    <workbookView xWindow="0" yWindow="0" windowWidth="16545" windowHeight="903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3" i="1"/>
  <c r="I71" i="1" l="1"/>
  <c r="I72" i="1" s="1"/>
  <c r="I73" i="1" s="1"/>
</calcChain>
</file>

<file path=xl/sharedStrings.xml><?xml version="1.0" encoding="utf-8"?>
<sst xmlns="http://schemas.openxmlformats.org/spreadsheetml/2006/main" count="409" uniqueCount="214">
  <si>
    <t>STT</t>
  </si>
  <si>
    <t>TÊN  QUI CÁCH VẬT TƯ</t>
  </si>
  <si>
    <t>ĐVT</t>
  </si>
  <si>
    <t>XUẤT
XỨ</t>
  </si>
  <si>
    <t>ĐƠN GIÁ</t>
  </si>
  <si>
    <t>SL</t>
  </si>
  <si>
    <t>THÀNH TIỀN</t>
  </si>
  <si>
    <t>Học kỳ II năm học 2025-2026</t>
  </si>
  <si>
    <t>Van tiết lưu 1 chiều M5 Φ4 (SL4-M5)</t>
  </si>
  <si>
    <t>Cái</t>
  </si>
  <si>
    <t>Việt Nam</t>
  </si>
  <si>
    <t xml:space="preserve">Ống khí nén (Loại PU 4x2 mm)  </t>
  </si>
  <si>
    <t>Mét</t>
  </si>
  <si>
    <t xml:space="preserve">Ống khí nén (Loại 6x4 mm) </t>
  </si>
  <si>
    <t>Đầu nối thẳng (Loại ren M5 trực tiếp Φ 4mm)</t>
  </si>
  <si>
    <t>Đầu nối thẳng (Loại ren M10 trực tiếp Φ 4mm)</t>
  </si>
  <si>
    <r>
      <t>Dây điện đơn mềm Vcm 1.5mm</t>
    </r>
    <r>
      <rPr>
        <vertAlign val="superscript"/>
        <sz val="11"/>
        <rFont val="Times New Roman"/>
        <family val="1"/>
      </rPr>
      <t>2</t>
    </r>
    <r>
      <rPr>
        <sz val="11"/>
        <rFont val="Times New Roman"/>
        <family val="1"/>
      </rPr>
      <t xml:space="preserve"> Đỏ</t>
    </r>
  </si>
  <si>
    <r>
      <t>Dây điện đơn mềm Vcm 0.75mm</t>
    </r>
    <r>
      <rPr>
        <vertAlign val="superscript"/>
        <sz val="11"/>
        <rFont val="Times New Roman"/>
        <family val="1"/>
      </rPr>
      <t>2</t>
    </r>
    <r>
      <rPr>
        <sz val="11"/>
        <rFont val="Times New Roman"/>
        <family val="1"/>
      </rPr>
      <t xml:space="preserve"> Đen</t>
    </r>
  </si>
  <si>
    <t xml:space="preserve">Cầu đấu 12 mắt (25A-12P-250V) </t>
  </si>
  <si>
    <t>Thanh</t>
  </si>
  <si>
    <t>Đầu Cốt (Loại Y SV3.2)  (100 Cái)</t>
  </si>
  <si>
    <t>Bịch</t>
  </si>
  <si>
    <t>Máng xương cá 35x35 mm</t>
  </si>
  <si>
    <t>Cây</t>
  </si>
  <si>
    <t>Công tắc 2 chấu  (Loại SMT051 SUNMAX)</t>
  </si>
  <si>
    <t>Chiếc</t>
  </si>
  <si>
    <t>Công tắc 3 chấu  (Loại SMT052 SUNMAX)</t>
  </si>
  <si>
    <t>Mặt 4 công tắc (Loại SMT003 SUNMAX)</t>
  </si>
  <si>
    <t>Mặt 1 công tắc và 1 ổ cắm (Loại SMT002 SUNMAX)</t>
  </si>
  <si>
    <t>Băng keo cách điện (Loại 5MILx3/4''x20Y)</t>
  </si>
  <si>
    <t>Cuộn</t>
  </si>
  <si>
    <t>Dây điện đôi mềm Vcm 2x1.0 mm2 đỏ</t>
  </si>
  <si>
    <t>Phim cách điện (Loại 290x210x0.2mm)</t>
  </si>
  <si>
    <t>Ống gen cách điện sợi thủy tinh (Đường kính: 1 mm)</t>
  </si>
  <si>
    <t>Dây đai ny lông d 1mm</t>
  </si>
  <si>
    <t>Ống gen cách điện sợi thủy tinh (Đường kính: 3 mm)</t>
  </si>
  <si>
    <t>Ống gen cách điện sợi thủy tinh (Đường kính: 5 mm)</t>
  </si>
  <si>
    <t>Dây ê may d 0.35mm</t>
  </si>
  <si>
    <t>Kg</t>
  </si>
  <si>
    <t>Dây ê may d 0,5mm</t>
  </si>
  <si>
    <t>Pin tiểu 1.5V</t>
  </si>
  <si>
    <t>Cặp</t>
  </si>
  <si>
    <t>Giấy cách điện (Loại 0.5mm)</t>
  </si>
  <si>
    <t xml:space="preserve">Led phát quang (Loại led 5mm) </t>
  </si>
  <si>
    <t>Con</t>
  </si>
  <si>
    <t>Điện trở 100K (ROHS)</t>
  </si>
  <si>
    <t>Điện trở 10K (ROHS)</t>
  </si>
  <si>
    <t>Điện trở 1K (ROHS)</t>
  </si>
  <si>
    <t>Điện trở 330 (ROHS)</t>
  </si>
  <si>
    <t>Điện trở 4.7K (ROHS)</t>
  </si>
  <si>
    <t>Điện trở 47K (ROHS)</t>
  </si>
  <si>
    <t>IC   17555 (Hitachi)</t>
  </si>
  <si>
    <t xml:space="preserve">Con </t>
  </si>
  <si>
    <t>IC   74LS00 (Hitachi)</t>
  </si>
  <si>
    <t>IC   74LS08 (Hitachi)</t>
  </si>
  <si>
    <t>IC   74LS164 (Hitachi)</t>
  </si>
  <si>
    <t>IC   74LS86 (Hitachi)</t>
  </si>
  <si>
    <t>IC   4017 (Hitachi)</t>
  </si>
  <si>
    <t>IC  74LS93 (Hitachi)</t>
  </si>
  <si>
    <t>IC  74LS112 (Hitachi)</t>
  </si>
  <si>
    <t>Rờ le bán dẫn 1 pha (FOTEX) Ngõ vào DC/ Ngõ ra AC</t>
  </si>
  <si>
    <t xml:space="preserve">Đế cắm chân IC 8 chân </t>
  </si>
  <si>
    <t xml:space="preserve">Đế cắm chân IC 14 chân </t>
  </si>
  <si>
    <t xml:space="preserve">Đế cắm chân IC 16 chân </t>
  </si>
  <si>
    <t>Board cắm linh kiện  (KT:175x67x8mm,  Import)</t>
  </si>
  <si>
    <t>Dây cắm Breadboard đực đực 20 mm 60 sợi</t>
  </si>
  <si>
    <t>Bó</t>
  </si>
  <si>
    <t>Board cắm linh kiện (Loại 165x54mm, 840 lỗ)</t>
  </si>
  <si>
    <t>Thiếc hàn (cuộn 800g)</t>
  </si>
  <si>
    <t>Tụ điện (Loại 1mF, EPCOS)</t>
  </si>
  <si>
    <t>Tụ điện  (Loại 47mF, EPCOS)</t>
  </si>
  <si>
    <t>Nút nhấn reset 10x10mm (ENCOM)</t>
  </si>
  <si>
    <t>IC 7414 (Hitachi)</t>
  </si>
  <si>
    <t>IC 7432 (Hitachi)</t>
  </si>
  <si>
    <t>IC 7474 (Hitachi)</t>
  </si>
  <si>
    <t>Trung Quốc</t>
  </si>
  <si>
    <t>Biến trở nhỏ (Loai biến trở 100k)</t>
  </si>
  <si>
    <t>Xăng  (xăng thơm)</t>
  </si>
  <si>
    <t>Lít</t>
  </si>
  <si>
    <t>Cồn 90 độ (VP - 500ml)</t>
  </si>
  <si>
    <t>Diode (Loại 1N4007)</t>
  </si>
  <si>
    <t>Transistor A1013</t>
  </si>
  <si>
    <t>Transistor D468</t>
  </si>
  <si>
    <t>Ống đồng  Φ6mm dạng cuộn:  độ dày 0,7mm</t>
  </si>
  <si>
    <t>Ống đồng  Φ10mm dạng cuộn:  độ dày 0,7mm</t>
  </si>
  <si>
    <t>Ống đồng  Φ12mm dạng cuộn:  độ dày 0,7mm</t>
  </si>
  <si>
    <t>Ty nạp gas máy lạnh</t>
  </si>
  <si>
    <t>Ống mao tủ lạnh 1/6HP</t>
  </si>
  <si>
    <t xml:space="preserve">Mét </t>
  </si>
  <si>
    <t>Khí Oxy nạp vào chai loại áp suất 250bar; 49kg, 50 lít</t>
  </si>
  <si>
    <t>Khí butan (Gas đốt bình loại 12kg)</t>
  </si>
  <si>
    <t>Khí Nitơ nạp vào chai loại áp suất 250bar; 49kg, 50 lít)</t>
  </si>
  <si>
    <t xml:space="preserve">Tổng </t>
  </si>
  <si>
    <t>VAT 8%</t>
  </si>
  <si>
    <t>Giá sau Thuế VAT</t>
  </si>
  <si>
    <t>THÔNG SỐ KĨ THUẬT</t>
  </si>
  <si>
    <t>NHÀ SẢN XUẤT</t>
  </si>
  <si>
    <t>Đường kính ống (Ø D) 4mm
Ren ngoài (R) M5
Chiều dài ren ngoài (L) 3.5mm
Kích thước (C x EA) 30 x 19mm</t>
  </si>
  <si>
    <t>OEM</t>
  </si>
  <si>
    <t>Khớp nối : Ø4mm
Áp lực vận hành : Max. 231 Psi
Lực tác động : Max. 15 kgf/cm²
Lưu chất : các loại khí
Biên nhiệt : -20 ~ 60ºC
Chất liệu : Polyurethane</t>
  </si>
  <si>
    <t>SANG A</t>
  </si>
  <si>
    <t>Khớp nối : Ø6mm
Áp lực vận hành : Max. 231 Psi
Lực tác động : Max. 15 kgf/cm²
Lưu chất : các loại khí
Biên nhiệt : -20 ~ 60ºC
Chất liệu : Polyurethane</t>
  </si>
  <si>
    <t>Kiểu kết nối Ren sang ống 
Cỡ đầu nối A M5 
Cỡ đầu nối B Push In 4 mm 
Loại đầu nối A Đực 
Loại đầu nối B Cái 
Series PC 
Vật liệu thân Đồng</t>
  </si>
  <si>
    <t>Kiểu kết nối Ren sang ống 
Cỡ đầu nối A M10 
Cỡ đầu nối B Push In 4 mm 
Loại đầu nối A Đực 
Loại đầu nối B Cái 
Series PC 
Vật liệu thân Đồng</t>
  </si>
  <si>
    <t xml:space="preserve">Tiết diện: 1.5mm2, tương đương với đường kính lõi đồng khoảng 1.38mm. 
Ruột dẫn: Đồng nguyên chất, 
Vỏ bọc: PVC (Polyvinyl chloride), có màu đỏ, độ dày khoảng 0.7mm. 
Điện áp danh định: 450/750V. 
Nhiệt độ làm việc tối đa: 70°C. </t>
  </si>
  <si>
    <t>CADIVI</t>
  </si>
  <si>
    <t>Tiết diện dây: 0.75mm2
Mức cách điện: 300/500V
Loại Dây: điện đơn
Chất liệu: Ruột đồng</t>
  </si>
  <si>
    <t>LINK SP</t>
  </si>
  <si>
    <t>https://codienhaiau.com/product/day-dien-don-mem-cadivi-vcm-0-75-den/</t>
  </si>
  <si>
    <t>CƠ ĐIỆN HẢI ÂU</t>
  </si>
  <si>
    <t xml:space="preserve">Điện áp :  600V – 25A – 12P (cực)
Mã sản phẩm : TB – 25A/12P
Quy cách : 25 Chiếc/ Hộp
Đáp ứng các yêu cầu kỹ thuật trong công nghiệp.
Có thể thay thế được các loại cầu đấu từ các thương hiệu khác.
Nhựa ABS mang lại độ bền cao. chịu nhiệt tốt.
</t>
  </si>
  <si>
    <t>TÂM VIỆT</t>
  </si>
  <si>
    <t>https://tamviet.pro/cau-dau-25a-12p/?srsltid=AfmBOor7ThyVP5RvtJR6LOMUhEy3hGWnBfSWA-JrPEH8LTGWVvxQLGic</t>
  </si>
  <si>
    <t>Đồng (Cu) nguyên chất đạt tỷ lệ 99.9%.
Bề mặt mạ Thiếc (Sn);
Chất liệu bọc nhựa: Vinyl – màu ĐEN
Cỡ dây cáp phù hợp: 2.5mm2 ~ 4.0mm2</t>
  </si>
  <si>
    <t>Chất liệu PVC
Kích thước (HxW) 35×35 mm
Khả năng chứa (tham khảo) 25~30 sợi cáp 2.0 mm2
Tiêu chuẩn RoHS, UL94 V-0
Chiều dài 2 mét/cây</t>
  </si>
  <si>
    <t>SINO</t>
  </si>
  <si>
    <t>https://vnecco.com/mang-nhua-35x35-dai-2-met-cn?gad_source=1&amp;gad_campaignid=10907929415&amp;gbraid=0AAAAAC6WZJOPWnAl0kgUd2BvAH0zrEjQn&amp;gclid=CjwKCAiAvaLLBhBFEiwAYCNTf6AmqnzadrHuzDWaRjoREsuKpD60ep0rxW_vRU1rIvpvXrbVEKneehoCoIwQAvD_BwE</t>
  </si>
  <si>
    <t>https://shopee.vn/product/95405680/26409615111?gads_t_sig=VTJGc2RHVmtYMTlxTFVSVVRrdENkUzJYdkg4SUFId3huV3BOemxRSlQvQm5uZEZkR1RzNlFUS1VERHltS3g3eWw0WXl1ZG41TFFoaEhwbmcyanlCcS9UTTRnTE8wdUlhb1Yrd0NUZUFMRFR2c2h2Rm5iSzJlYUlBUnRHdllnT3Q&amp;gad_source=1&amp;gad_campaign</t>
  </si>
  <si>
    <t>Loại: Công tắc cơ học 
Wif:i Không Wifi 
Số kênh điều khiển: 1 
Đèn LED: Không LED 
Hình dáng: Chữ nhật</t>
  </si>
  <si>
    <t>https://dientutuyetnga.com/products/cong-tac-2-chau</t>
  </si>
  <si>
    <t>https://thietbidienphunguyen.com/san-pham/thiet-bi-dien/mat-4-cong-tac-s184-x-sino.html</t>
  </si>
  <si>
    <t>Mặt 4 công tắc S184/X Sino :
-Loại : 4 công tắc
-Kiểu : mặt 4 lỗ
-Màu : trắng
-Kích thước : 70mm x 120mm
-Đóng gói : 25 cái /hộp
-Nhà sx :   Sino –Vanlock</t>
  </si>
  <si>
    <t>https://thietbidienphunguyen.com/san-pham/thiet-bi-dien/mat-o-don-1-cong-tac-s18ux-sino.html</t>
  </si>
  <si>
    <t>Mặt ổ đơn + 1 công tắc S18UX Sino    
-Mã số : S18UX
-Loại : 1 công tắc, 1 ổ cắm
-Kiểu : mặt 1 lỗ + 1 ổ gắn liền mặt
-Màu : trắng
-Kích thước : 70mm x 120mm
-Đóng gói : 10 cái /hộp
-Nhà sx :   Sino –Vanlock</t>
  </si>
  <si>
    <t>NANO</t>
  </si>
  <si>
    <t>Xuất xứ: Việt Nam
Chất liệu: PVC
Bề ngang: 3/4 inch
Chiều dài 20Ya</t>
  </si>
  <si>
    <t>https://kamytools.com/bang-keo-dien-nano-to-nga-dung-5milx3-4-x20y-ban-le-1-cuon?srsltid=AfmBOoqgdWzgWYRtMz2hfP_cOcHbhIgD7h3KP_j6w5tCS1dq-lAQlFLQ</t>
  </si>
  <si>
    <t>Tiết diện dây: 1mm2
Mức cách điện: 0.6/1KV
Loại Dây: điện đôi
Chất liệu: Ruột đồng</t>
  </si>
  <si>
    <t>https://codienhaiau.com/product/day-dien-doi-cadivi-vcmd-2x1-do/</t>
  </si>
  <si>
    <t>https://www.thegioiic.com/ong-gen-chiu-nhiet-1mm</t>
  </si>
  <si>
    <t>Loại Ống Gen Chịu Nhiệt 
Đường kính 1mm 
Màu sắc Trắng &amp; đỏ 
Điện áp chịu đựng 1KV 
Nhiệt độ chịu đựng 105℃ 
Vật liệu Sợi thủy tinh 
Chiều rộng dẹp 1.6mm</t>
  </si>
  <si>
    <t>https://shopee.vn/D%C3%A2y-%C4%91%E1%BB%93ng-ch%E1%BB%8Bu-nhi%E1%BB%87t-220-%C4%91%E1%BB%99-h%C3%A3ng-KCT-0.5kg-D%C3%A2y-%C4%91i%E1%BB%87n-t%E1%BB%AB-220-%C4%91%E1%BB%99-D%C3%A2y-%C4%91%E1%BB%93ng-cu%E1%BB%91n-%C4%91%E1%BB%99ng-c%C6%A1-i.152727804.21560664131</t>
  </si>
  <si>
    <t>Chất liệu: Đồng nguyên chất
Lớp phủ: Sơn cách điện chịu nhiệt
Đường kính dây: , 0.3mm,
Màu sắc: Đồng đỏ bóng</t>
  </si>
  <si>
    <t>PANASONIC</t>
  </si>
  <si>
    <t>Volts: 1.5V
Kích cỡ: size AAA
Kích thước: 10x42mm</t>
  </si>
  <si>
    <t>https://nhandaithanh.com/products/bo-2-pin-aaa-than-tieu-den-panasonic-neo-r03nt-2s-v9?ref=haraads&amp;utm_campaign=haraads&amp;utm_medium=paid&amp;utm_source=google&amp;gad_source=1&amp;gad_campaignid=22259962467&amp;gbraid=0AAAAADuztKadsLeGkjMonMPdwc1bfmMMV&amp;gclid=CjwKCAiAvaLLB</t>
  </si>
  <si>
    <t>Màu LED: Đỏ 
Loại: 5mm 
Màu lens: Trong suốt 
Kiểu lens: Đầu bằng 
Chiều dài: Dài 
Số chân: 2</t>
  </si>
  <si>
    <t>https://www.thegioiic.com/led-do-5mm-dau-bang-trong-suot</t>
  </si>
  <si>
    <t>https://dientunhattung.com/san-pham/dien-tro-100k-1-4w-5-mau-dien-tro-1-4w-10con/</t>
  </si>
  <si>
    <t>Nhiệt độ hoạt động: -55oC – 155oC
Linh kiện xuyên lỗ: 0.5mm
Loại: Điện trở cố định</t>
  </si>
  <si>
    <t xml:space="preserve"> Model: 10K Ohm - 1/2W
Nhiệt độ hoạt động: -55oC  - 150o C
 Linh kiện xuyên lỗ: 0.5mm
Loại: Điện trở cố định
Sai số: 1%</t>
  </si>
  <si>
    <t>https://robocon.vn/detail/dt43-dien-tro-cam-10k-ohm-10kr-12w.html</t>
  </si>
  <si>
    <t>Giá trị điện trở 1 KOhm 
Sai số 5% 
Công suất 0.25W, 1/4W 
công nghệ Carbon Film 
Nhiệt độ max +155°C 
Nhiệt độ min -55°C</t>
  </si>
  <si>
    <t>https://www.thegioiic.com/dien-tro-1-kohm-1-4w-5-4-vong-mau</t>
  </si>
  <si>
    <t>https://icdayroi.com/dien-tro-330-ohm-1-4w-goi-50-con</t>
  </si>
  <si>
    <t>Model: 330 R 1/4W
Nhiệt độ hoạt động: -55oC – 155oC
Linh kiện xuyên lỗ: 0.5mm
Loại: Điện trở cố định</t>
  </si>
  <si>
    <t>Giá trị điện trở 47 KOhm 
Sai số 5% 
Công suất 0.5W, 1/2W 
Công nghệ Carbon Film 
Nhiệt độ max +155°C 
Nhiệt độ min -55°C</t>
  </si>
  <si>
    <t>Giá trị điện trở 4.7 KOhm 
Sai số 5% 
Công suất 0.25W, 1/4W 
Công nghệ Carbon Film 
Nhiệt độ max +155°C 
Nhiệt độ min -55°C</t>
  </si>
  <si>
    <t>HITACHI</t>
  </si>
  <si>
    <t>https://www.thegioiic.com/ha17555-ic-precision-timer-8-dip</t>
  </si>
  <si>
    <t>Điện áp cấp 4.5V ~ 16V 
Dòng cung cấp 10 mA 
Nhiệt độ hoạt động -20°C ~ 70°C 
Kiểu chân Xuyên lỗ 
Số chân 8 
Kiểu đóng gói DIP</t>
  </si>
  <si>
    <t>Điện áp cung cấp (Vcc): 4.75V đến 5.25V (điển hình 5V)
Dòng tiêu thụ (Icc): 4mA
Thời gian trễ truyền: Khoảng 10ns
Tần số hoạt động tối đa: Lên đến 35 MHz
Mức điện áp logic:
Mức logic thấp: 0V đến 0.8V
Mức logic cao: 2V đến 5V
Dải nhiệt độ hoạt động: 0°C đến +70°C</t>
  </si>
  <si>
    <t>Dải điện áp hoạt động: +4.75 đến + 5.25V
Điện áp hoạt động được đề xuất: + 5V
Điện áp nguồn tối đa: 7V
Dòng điện tối đa được phép rút qua mỗi đầu ra cổng: 8mA
Đầu ra TTL
Tiêu thụ ít điện năng
Thời gian tăng điển hình: 18ns
Thời gian giảm điển hình: 18ns
Nhiệt độ hoạt động: 0 ° C đến 70 ° C
Nhiệt độ bảo quản: -65 ° C đến 150 ° C</t>
  </si>
  <si>
    <t>https://www.linhkienchatluong.vn/urlic-ho-74---ic-logic/74ls08-sn74ls08n-dip-14-chinh-hang-ti_sp550_ct2228.aspx</t>
  </si>
  <si>
    <t>https://dientutuonglai.com/ic-74ls00-dip14.html</t>
  </si>
  <si>
    <t>Điện áp cung cấp: 4.5V ~ 5.5V
Dải nhiệt độ hoạt động: 0 ~ 70oC
Nhiệt độ lưu trữ: -55 ~ 150oC
Dòng điện ra mức cao: IOH = 400uA
Dòng điện ra mức thấp: IOL = 8mA</t>
  </si>
  <si>
    <t>https://www.thegioiic.com/74ls164-ic-shift-register-1-element-8-bit-push-pull-14-soic</t>
  </si>
  <si>
    <t>VCC (Tối thiểu): 4,75V
VCC (Tối đa): 5,25V
Số kênh: 4Đầu vào mỗi kênh: 2
OL (Tối đa): 16mA
IOH (Tối đa) -0,8mA
Loại đầu vào: TTL-CMOS tương thích
Loại đầu ra: Đẩy-Kéo</t>
  </si>
  <si>
    <t>https://dientunhattung.com/san-pham/ic-so-sn74ls86-cong-xor-ic-cong-logic-2-input-dip/</t>
  </si>
  <si>
    <t>Chân 16
Số cổng ra trong ic 10
Điện áp hoạt động 3V – 18V DC
Dòng ngõ ra 10mA
Nhiệt độ hoạt động -55°C – 125°C
Mức logic 0 hoặc 1</t>
  </si>
  <si>
    <t>https://dientutuyetnga.com/products/nhan-ban-cua-ic-dan-4013</t>
  </si>
  <si>
    <t>Mã sản phẩm: 74LS93
Loại đếm: Nhị phân 4 bit
Cấu trúc đếm: 1 mod-2 và 1 mod-8 (2 + 3 bit)
Đầu vào clock: CP1, CP0
Đầu ra: Q0, Q1, Q2, Q3
Tín hiệu điều khiển: Reset R01, R02
Điện áp hoạt động: 4.75V – 5.25V (TTL)
Dòng ra tối đa: ~8mA
Tần số hoạt động tối đa: ~32 MHz
Vỏ IC: DIP14
Nhiệt độ hoạt động: 0°C đến +70°C</t>
  </si>
  <si>
    <t>Họ công nghệ: LS
IC gói JK Flip Flop kép
VCC (Tối thiểu): 4,75V
VCC (Tối đa): 5,25
Số bit (#): 2
Điện áp hoạt động (Nom): 5V
Tần số ở điện áp bình thường (Tối đa): 35MHz
Độ trễ lan truyền (Tối đa): 20ns
IOL (Tối đa): 8mA
IOH (Tối đa): - 0,4mA</t>
  </si>
  <si>
    <t>Số pha của tải 1 pha
Điện áp ngõ vào 3...32VDC
Điện áp tải 90...480VAC
Dòng điện tải 40A
Đặc điểm chuyển mạch Zero-cross
Tản nhiệt (Bán riêng) HS-100H, HS-150H, HS-200H, HS-50H
Loại Rơ le bán dẫn cho thiết bị gia nhiệt
Tích hợp tản nhiệt KhônG</t>
  </si>
  <si>
    <t>TAIWAN</t>
  </si>
  <si>
    <t>https://baa.vn/vn/san-pham/ro-le-ban-dan-cho-thiet-bi-gia-nhiet-fotek-ssr-40da-h_489142</t>
  </si>
  <si>
    <t>Số chân 8 
Loại chân Chân vuông 
Kiểu chân Xuyên lỗ 
Khoảng cách chân 2.54mm 
Cách gắn mạch Hàn 
Vật liệu tiếp điểm Đồng 
Mạ tiếp điểm Thiếc 
Dòng điện định mức 1A 
Điện áp định mức 60 V ac</t>
  </si>
  <si>
    <t>Số chân 14 
Loại chân Chân vuông 
Kiểu chân Xuyên lỗ 
Khoảng cách chân 2.54mm 
Cách gắn mạch Hàn 
Vật liệu tiếp điểm Đồng 
Mạ tiếp điểm Thiếc 
Dòng điện định mức 1A 
Điện áp định mức 60 V ac</t>
  </si>
  <si>
    <t>https://www.thegioiic.com/de-ic-8-chan-vuong-hep-hai-hang-1a-60vac</t>
  </si>
  <si>
    <t>Khoảng cách chân : 2.54mm
Khoảng cách 2 hàng chân : 7.62mm</t>
  </si>
  <si>
    <t>https://dientutuyetnga.com/products/de-ic-16-chan-vuong-dip16</t>
  </si>
  <si>
    <t>https://dientutuonglai.com/board-test-gl-no-12-175-67-9mm.html</t>
  </si>
  <si>
    <t>Kích thước: 175x67x8MM</t>
  </si>
  <si>
    <t>https://caka.vn/day-cam-test-board-nhieu-kich-co-65-soi-duc-duc</t>
  </si>
  <si>
    <t>Một bó có 65 sợi dây cắm đực đực.
Nhiều màu và kích thước khác nhau.</t>
  </si>
  <si>
    <t>https://icdayroi.com/de-test-board-bread-board-165x54mm</t>
  </si>
  <si>
    <t xml:space="preserve">Số điểm (lỗ): 840 lỗ (bao gồm 640 lỗ cho khu vực kết nối linh kiện và 200 lỗ cho các đường cấp nguồn) 
Kích thước: 165 x 54 x 8.5 mm
Chất liệu: Nhựa ABS trắng, có độ bền cao và cách điện tốt 
Tiếp điểm: Lá đồng mạ niken, cho độ đàn hồi và khả năng dẫn điện ổn định 
Cố định: Mặt dưới thường có lớp băng dính hai mặt để dán cố định lên các bề mặt phẳng </t>
  </si>
  <si>
    <t>Loại Không chì 
Đường kính dây 0.6mm 
Thành phần Sn99.3/Cu0.7 
Trọng lượng 800G</t>
  </si>
  <si>
    <t>https://www.thegioiic.com/thiec-han-0-6-sn99-3-cu0-7-800g-xty</t>
  </si>
  <si>
    <t>Phân loại: TỤ HÓA-                           Thương hiệu: EPCOS
 Dung lượng tụ: 1000uF 
Điện áp đánh thủng: 450V
 Kich thước: đường kính 30mm, chiều cao 70mm
 Màu sắc: Màu đen</t>
  </si>
  <si>
    <t>https://linhkienthanhcong.com/tu-hoa-epcos-1000uf-450v-30x70mm</t>
  </si>
  <si>
    <t>Giá trị tụ điện:   4700uF
Điện áp tối đa:  35V
Loại: Điện dung cố định
Tụ phân cực
Điện dung được ghi chính xác trên thân của tụ, ngoài ra còn có nhiệt độ hoạt động tối đa của tụ</t>
  </si>
  <si>
    <t>https://www.thegioiic.com/tu-hoa-4700uf-35v-18x32mm-xuyen-lo</t>
  </si>
  <si>
    <t>https://dientukhaidinh.com/cong-tac-nut-nhan-nha-reset-5-huong-da-dung-10x10mm-6p-10p-nhieu-kieu-dang-kde8582</t>
  </si>
  <si>
    <t>Kích thước: 10mm x 10mm.
Loại: Nhấn nhả (Momentary/Nút đề), tức là nhả tay là nút trở về vị trí cũ.</t>
  </si>
  <si>
    <t>https://hoachatvietlong.vn/san-pham/xang-pha-son-sat-ma-kem-son-dau-son-epoxy/</t>
  </si>
  <si>
    <t>VĨNH PHÚC</t>
  </si>
  <si>
    <t>https://nhathuoclongchau.com.vn/trang-thiet-bi-y-te/con-90-do-vp-500ml-18093.html</t>
  </si>
  <si>
    <t>https://linhkienchatluong.vn/diode-chinh-luu/1n4007-diode-chinh-luu-1a-1000v-chan-to-07x58mm-chinh-hang-mic-10c_sp572_ct6892.aspx</t>
  </si>
  <si>
    <t>Mã linh kiện: 1N4007
Dòng tải tối đa: 1A
Điện áp ngược cực đại (VRRM): 1000V
Điện áp rơi tiếp (VF): khoảng 0.7V
Kiểu chân: Chân xuyên lỗ (DO-41)
Nhiệt độ hoạt động: -65°C đến +150°C</t>
  </si>
  <si>
    <t>https://linhkienchatluong.vn/ic-on-ap/a1013-2sa1013-pnp-transistor-1a-160v-sot-89-chinh-hang-jcet_sp1000_ct17052.aspx</t>
  </si>
  <si>
    <t>Kiểu chỉ định: A1013
Vật liệu transitor: Si
Phân cực: PNP
Công suất tiêu tán tối đa Pc: 0,9 W
Điện áp cực đại Collector-Base Vcb: 160 V
Điện áp cực đại Collector-Emitter Vce: 160 V
Điện áp cực đại Emitter-Base Veb: 6 V
Dòng Collector tối đa Ic max: 1 A
Nhiệt độ hoạt động mối nối tối đa (Tj): 150 ° C</t>
  </si>
  <si>
    <t>https://banlinhkiendientu.vn/a1013/?srsltid=AfmBOoqfbV33DalIewNgdgNc45C6BXlejizux0ChPgajlXVVU3EK8M1g</t>
  </si>
  <si>
    <t>http://kimloaimau.net/cuon-ong-dong-do-phi-6.35x0.71mm-8367</t>
  </si>
  <si>
    <t>Đường kính ngoài: 9.52mm (tương đương 3/8 inch)
Độ dày ống: Từ 0.5mm đến 1.0mm (tùy nhu cầu sử dụng)
Chiều dài mỗi cuộn: 15 mét
Xuất xứ: Trung Quốc
Chất liệu: Đồng nguyên chất ≥ 99.9%</t>
  </si>
  <si>
    <t>https://vattunganhlanh.vn/thong-tin-san-pham/ong-dong-thai-lan-phi-10-cuon-15m/</t>
  </si>
  <si>
    <t>Thành phần: 99,97% là Cu
- Đường kính ngoài: 12.7 mm
- Chiều dài: 15 mét
- Ứng dụng: lắp máy lạnh dân dụng 2.0HP - 2.5HP</t>
  </si>
  <si>
    <t>https://vattudienlanhgiare.net/san-pham/Ong-dong-may-lanh-phi-12-Luvata-LHCT-1343.html</t>
  </si>
  <si>
    <t>Đường kính ngoài: 6.35/12.7 mm
 Chiều dài: 15 mét
 Đi kèm gen đôi cách nhiệt trắng
 Ứng dụng: lắp máy lạnh dân dụng 1.5HP - 2.0HP</t>
  </si>
  <si>
    <t>Chức năng chính: Nạp gas cho tủ lạnh, điều hòa, máy lạnh
Chất liệu: Kim loại
Kích thước/Trọng lượng: Nhỏ gọn, nhẹ
Màu sắc: Bạc</t>
  </si>
  <si>
    <t>https://dienmayhaianh.vn/san-pham/ti-nap-gas-lanh-3172.html</t>
  </si>
  <si>
    <t>Công suất máy: 1/6 HP (Horsepower).
Dung tích tủ lạnh tương ứng: 160 - 180 lít.
Đường kính trong (ID): Khoảng 1.8mm (hoặc 1/8 inch
Vật liệu: Đồng (Cáp đồng).</t>
  </si>
  <si>
    <t>https://lanh.com.vn/san-pham/tiet-luu-cap-ong-mao/</t>
  </si>
  <si>
    <t>Nhiệt độ làm việc từ -40 đến 125 độ C
 Số chân : 14
 Kiểu đóng gói: DIP14
Điện áp cung cấp:5-6V
Mức logic vào thấp: &lt;1,8V
Mức logic vào cao:&gt;3,2V</t>
  </si>
  <si>
    <t>https://chipn24.com/dip-ic-7414-74hc14-dip-14-74hc14n-ic-cong-not-schitt-trigger-6-cong-not-id769.html</t>
  </si>
  <si>
    <t>https://banlinhkiendientu.vn/sn74hc14n/?gad_source=1&amp;gad_campaignid=8191264750&amp;gbraid=0AAAAADlkY95EJF2S_JNRu012I94DBRoEm&amp;gclid=CjwKCAiAvaLLBhBFEiwAYCNTf-OWjCrvjfL2p0OgPLMszOOdqy4xo9lOb5s5xYZ0pFRCPupdgznbWRoCGjQQAvD_BwE</t>
  </si>
  <si>
    <t>Số chân: 14
Số cổng OR trong ic4
Điện áp hoạt động2V – 6V DC
Dòng ngõ ra5.2mA
Nhiệt độ hoạt động-40°C – 125°C
Mức logic0 hoặc 1</t>
  </si>
  <si>
    <t>Gói IC Flip Flop D kép
Điện áp hoạt động: 2V đến 15V
Độ trễ truyền: 40nS
Điện áp đầu vào mức cao tối thiểu: 2 V
Điện áp đầu vào mức thấp tối đa: 0,8V
Nhiệt độ hoạt động: 0 đến 70 ° C
Dòng điện đầu ra mức cao: 8mA</t>
  </si>
  <si>
    <t>https://dientutuonglai.com/ic-74ls74-dip14.html</t>
  </si>
  <si>
    <t>Điện trở danh định: 100 kΩ
Công suất định mức: 0.1W.
Sai số điện trở: ±20%.
Nhiệt độ hoạt động: -10°C đến +70°C.
Kích thước: Khoảng 6.5mm x 6.5mm x 5mm (dài x rộng x cao).
Góc xoay điều chỉnh: Khoảng 200-300°, tùy thuộc vào thiết kế cụ thể.
Loại đóng gói: Loại nằm ngang, thường có 3 chân hàn (DIP).</t>
  </si>
  <si>
    <t>https://banlinhkiendientu.vn/chiet-ap-tinh-chinh-rm065-100k/?gad_source=1&amp;gad_campaignid=8191264750&amp;gbraid=0AAAAADlkY95EJF2S_JNRu012I94DBRoEm&amp;gclid=CjwKCAiAvaLLBhBFEiwAYCNTf3oIpJae7liJJ5udUxF0B4m7nrXWalE1r_poT8AXhYZQG339yEFeVRoCsG8QAvD_BwE</t>
  </si>
  <si>
    <t>https://shopee.vn/product/18667217/2180819310?gads_t_sig=VTJGc2RHVmtYMTlxTFVSVVRrdENkZExrZG1KbGNQZ3dJbEMwUStXSm5ZcUdKQlRaTFBlc2xxNjkrTGMwQ3RoTXp1NzlHQk5xODVPMUtIUnZRMVFPTWRyclZyRS85UlJxUFBqYmdjdXBFb1NwUUFYR2FoWjdqTVNKRjFVaFR3N0g&amp;gad_source=1&amp;gad_campaigni</t>
  </si>
  <si>
    <t>Cuộn chỉ đai đa công dụng
Dùng trong gia đình, sửa chữa, cơ khí,..
Trọng lượng 200g</t>
  </si>
  <si>
    <t>https://linhkienquynhdien.com/giay-xanh-giay-cach-dien-day-0-1mm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</si>
</sst>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164" formatCode="_-* #,##0\ _₫_-;\-* #,##0\ _₫_-;_-* &quot;-&quot;\ _₫_-;_-@_-"/>
  </numFmts>
  <fonts count="15">
    <font>
      <sz val="11"/>
      <color theme="1"/>
      <name val="Calibri"/>
      <family val="2"/>
      <scheme val="minor"/>
    </font>
    <font>
      <sz val="11"/>
      <color theme="1"/>
      <name val="Calibri"/>
      <family val="2"/>
      <scheme val="minor"/>
    </font>
    <font>
      <sz val="10"/>
      <name val="Arial"/>
      <family val="2"/>
    </font>
    <font>
      <b/>
      <sz val="12"/>
      <name val="Times New Roman"/>
      <family val="1"/>
    </font>
    <font>
      <sz val="10"/>
      <name val="Arial"/>
      <family val="2"/>
      <charset val="163"/>
    </font>
    <font>
      <sz val="11"/>
      <name val="Times New Roman"/>
      <family val="1"/>
    </font>
    <font>
      <sz val="11"/>
      <color theme="1"/>
      <name val="Calibri"/>
      <family val="2"/>
      <charset val="163"/>
      <scheme val="minor"/>
    </font>
    <font>
      <vertAlign val="superscript"/>
      <sz val="11"/>
      <name val="Times New Roman"/>
      <family val="1"/>
    </font>
    <font>
      <b/>
      <sz val="10"/>
      <name val="Times New Roman"/>
      <family val="1"/>
    </font>
    <font>
      <sz val="10"/>
      <name val="Times New Roman"/>
      <family val="1"/>
    </font>
    <font>
      <b/>
      <sz val="10.5"/>
      <name val="Times New Roman"/>
      <family val="1"/>
    </font>
    <font>
      <b/>
      <i/>
      <sz val="12"/>
      <name val="Times New Roman"/>
      <family val="1"/>
    </font>
    <font>
      <u/>
      <sz val="11"/>
      <color theme="10"/>
      <name val="Calibri"/>
      <family val="2"/>
      <scheme val="minor"/>
    </font>
    <font>
      <sz val="12"/>
      <name val="Times New Roman"/>
      <family val="1"/>
    </font>
    <font>
      <sz val="10.5"/>
      <name val="Helvetica"/>
      <charset val="134"/>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0" fontId="2" fillId="0" borderId="0"/>
    <xf numFmtId="0" fontId="4" fillId="0" borderId="0"/>
    <xf numFmtId="0" fontId="6" fillId="0" borderId="0"/>
    <xf numFmtId="0" fontId="2" fillId="0" borderId="0"/>
    <xf numFmtId="0" fontId="1" fillId="0" borderId="0"/>
    <xf numFmtId="0" fontId="1" fillId="0" borderId="0"/>
    <xf numFmtId="0" fontId="1" fillId="0" borderId="0"/>
    <xf numFmtId="9" fontId="1" fillId="0" borderId="0" applyFont="0" applyFill="0" applyBorder="0" applyAlignment="0" applyProtection="0"/>
    <xf numFmtId="0" fontId="12" fillId="0" borderId="0" applyNumberFormat="0" applyFill="0" applyBorder="0" applyAlignment="0" applyProtection="0"/>
  </cellStyleXfs>
  <cellXfs count="71">
    <xf numFmtId="0" fontId="0" fillId="0" borderId="0" xfId="0"/>
    <xf numFmtId="0" fontId="3" fillId="2" borderId="1" xfId="1" applyFont="1" applyFill="1" applyBorder="1" applyAlignment="1">
      <alignment horizontal="center" vertical="center"/>
    </xf>
    <xf numFmtId="0" fontId="3" fillId="2" borderId="1" xfId="1" applyFont="1" applyFill="1" applyBorder="1" applyAlignment="1">
      <alignment horizontal="center" vertical="center" wrapText="1"/>
    </xf>
    <xf numFmtId="3" fontId="3" fillId="2" borderId="1" xfId="1" applyNumberFormat="1" applyFont="1" applyFill="1" applyBorder="1" applyAlignment="1">
      <alignment horizontal="center" vertical="center" wrapText="1"/>
    </xf>
    <xf numFmtId="0" fontId="5" fillId="0" borderId="1" xfId="2" applyFont="1" applyFill="1" applyBorder="1" applyAlignment="1">
      <alignment horizontal="center" vertical="center"/>
    </xf>
    <xf numFmtId="0" fontId="5" fillId="0" borderId="1" xfId="3" applyFont="1" applyFill="1" applyBorder="1" applyAlignment="1">
      <alignment vertical="center" wrapText="1"/>
    </xf>
    <xf numFmtId="0" fontId="5" fillId="0" borderId="1" xfId="3" applyFont="1" applyFill="1" applyBorder="1" applyAlignment="1">
      <alignment horizontal="center" vertical="center" wrapText="1"/>
    </xf>
    <xf numFmtId="41" fontId="5" fillId="2" borderId="1" xfId="0" applyNumberFormat="1" applyFont="1" applyFill="1" applyBorder="1" applyAlignment="1">
      <alignment horizontal="center" vertical="center" wrapText="1"/>
    </xf>
    <xf numFmtId="41" fontId="5" fillId="2" borderId="1" xfId="0" applyNumberFormat="1" applyFont="1" applyFill="1" applyBorder="1" applyAlignment="1">
      <alignment horizontal="left" vertical="center"/>
    </xf>
    <xf numFmtId="1" fontId="5" fillId="2" borderId="1" xfId="0" applyNumberFormat="1" applyFont="1" applyFill="1" applyBorder="1" applyAlignment="1">
      <alignment horizontal="center" vertical="center"/>
    </xf>
    <xf numFmtId="3" fontId="5" fillId="0" borderId="1" xfId="0" applyNumberFormat="1" applyFont="1" applyFill="1" applyBorder="1" applyAlignment="1">
      <alignment horizontal="center" vertical="center" wrapText="1"/>
    </xf>
    <xf numFmtId="0" fontId="5" fillId="0" borderId="1" xfId="3" applyFont="1" applyFill="1" applyBorder="1" applyAlignment="1">
      <alignment vertical="center"/>
    </xf>
    <xf numFmtId="41" fontId="5" fillId="0" borderId="1" xfId="0" applyNumberFormat="1" applyFont="1" applyBorder="1" applyAlignment="1">
      <alignment horizontal="left" vertical="center"/>
    </xf>
    <xf numFmtId="0" fontId="5" fillId="0" borderId="1" xfId="0" applyFont="1" applyBorder="1" applyAlignment="1">
      <alignment horizontal="center"/>
    </xf>
    <xf numFmtId="0" fontId="5" fillId="2" borderId="1" xfId="2" applyFont="1" applyFill="1" applyBorder="1" applyAlignment="1">
      <alignment horizontal="left" vertical="center" wrapText="1"/>
    </xf>
    <xf numFmtId="0" fontId="5" fillId="2" borderId="1" xfId="2" applyFont="1" applyFill="1" applyBorder="1" applyAlignment="1">
      <alignment horizontal="center" vertical="center" wrapText="1"/>
    </xf>
    <xf numFmtId="164" fontId="5" fillId="0" borderId="1" xfId="0" applyNumberFormat="1" applyFont="1" applyBorder="1" applyAlignment="1">
      <alignment horizontal="left" vertical="center"/>
    </xf>
    <xf numFmtId="0" fontId="5" fillId="2" borderId="1" xfId="2" applyFont="1" applyFill="1" applyBorder="1" applyAlignment="1">
      <alignment horizontal="left" vertical="center"/>
    </xf>
    <xf numFmtId="0" fontId="5" fillId="2" borderId="1" xfId="2" applyFont="1" applyFill="1" applyBorder="1" applyAlignment="1">
      <alignment horizontal="center" vertical="center"/>
    </xf>
    <xf numFmtId="0" fontId="5" fillId="2" borderId="1" xfId="0" applyFont="1" applyFill="1" applyBorder="1" applyAlignment="1">
      <alignment vertical="center" wrapText="1"/>
    </xf>
    <xf numFmtId="0" fontId="5" fillId="2" borderId="1" xfId="0" applyFont="1" applyFill="1" applyBorder="1" applyAlignment="1">
      <alignment horizontal="center" vertical="center" wrapText="1"/>
    </xf>
    <xf numFmtId="164" fontId="5" fillId="2" borderId="1" xfId="4" applyNumberFormat="1" applyFont="1" applyFill="1" applyBorder="1" applyAlignment="1">
      <alignment horizontal="center" vertical="center" wrapText="1"/>
    </xf>
    <xf numFmtId="164" fontId="5" fillId="0" borderId="1" xfId="4" applyNumberFormat="1" applyFont="1" applyBorder="1" applyAlignment="1">
      <alignment horizontal="left" vertical="center"/>
    </xf>
    <xf numFmtId="0" fontId="5" fillId="2" borderId="1" xfId="0" applyFont="1" applyFill="1" applyBorder="1" applyAlignment="1">
      <alignment horizontal="left" vertical="center"/>
    </xf>
    <xf numFmtId="1" fontId="5" fillId="0" borderId="1" xfId="0" applyNumberFormat="1" applyFont="1" applyBorder="1" applyAlignment="1">
      <alignment horizontal="center"/>
    </xf>
    <xf numFmtId="0" fontId="5" fillId="2" borderId="1" xfId="0" applyFont="1" applyFill="1" applyBorder="1" applyAlignment="1">
      <alignment horizontal="left"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41" fontId="5" fillId="0" borderId="1" xfId="0" applyNumberFormat="1" applyFont="1" applyFill="1" applyBorder="1" applyAlignment="1">
      <alignment horizontal="center" vertical="center" wrapText="1"/>
    </xf>
    <xf numFmtId="164" fontId="5" fillId="0" borderId="1" xfId="4" applyNumberFormat="1" applyFont="1" applyFill="1" applyBorder="1" applyAlignment="1">
      <alignment horizontal="left" vertical="center"/>
    </xf>
    <xf numFmtId="0" fontId="5" fillId="0" borderId="1" xfId="0" applyFont="1" applyFill="1" applyBorder="1" applyAlignment="1">
      <alignment horizontal="center"/>
    </xf>
    <xf numFmtId="164" fontId="5" fillId="2" borderId="1" xfId="4" applyNumberFormat="1" applyFont="1" applyFill="1" applyBorder="1" applyAlignment="1">
      <alignment horizontal="left" vertical="center"/>
    </xf>
    <xf numFmtId="3" fontId="5" fillId="0"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5" applyFont="1" applyFill="1" applyBorder="1" applyAlignment="1">
      <alignment horizontal="left" vertical="center" wrapText="1"/>
    </xf>
    <xf numFmtId="0" fontId="5" fillId="2" borderId="1" xfId="5" applyFont="1" applyFill="1" applyBorder="1" applyAlignment="1">
      <alignment horizontal="center" vertical="center"/>
    </xf>
    <xf numFmtId="0" fontId="5" fillId="2" borderId="1" xfId="5" applyFont="1" applyFill="1" applyBorder="1" applyAlignment="1">
      <alignment vertical="center" wrapText="1"/>
    </xf>
    <xf numFmtId="0" fontId="5" fillId="2" borderId="1" xfId="5" applyFont="1" applyFill="1" applyBorder="1" applyAlignment="1">
      <alignment vertical="center"/>
    </xf>
    <xf numFmtId="0" fontId="5" fillId="0" borderId="1" xfId="5" applyFont="1" applyFill="1" applyBorder="1" applyAlignment="1">
      <alignment vertical="center" wrapText="1"/>
    </xf>
    <xf numFmtId="0" fontId="5" fillId="2" borderId="1" xfId="5" applyFont="1" applyFill="1" applyBorder="1" applyAlignment="1">
      <alignment horizontal="center" vertical="center" wrapText="1"/>
    </xf>
    <xf numFmtId="0" fontId="5" fillId="0" borderId="1" xfId="4" applyFont="1" applyFill="1" applyBorder="1" applyAlignment="1">
      <alignment horizontal="justify" vertical="center" wrapText="1"/>
    </xf>
    <xf numFmtId="0" fontId="5" fillId="2" borderId="1" xfId="6" applyFont="1" applyFill="1" applyBorder="1" applyAlignment="1">
      <alignment horizontal="center" vertical="center" wrapText="1"/>
    </xf>
    <xf numFmtId="0" fontId="9" fillId="2" borderId="1" xfId="5" applyFont="1" applyFill="1" applyBorder="1" applyAlignment="1">
      <alignment horizontal="center" vertical="center"/>
    </xf>
    <xf numFmtId="41" fontId="9" fillId="2" borderId="1" xfId="0" applyNumberFormat="1" applyFont="1" applyFill="1" applyBorder="1" applyAlignment="1">
      <alignment horizontal="right" vertical="center"/>
    </xf>
    <xf numFmtId="1" fontId="9" fillId="0" borderId="1" xfId="0" applyNumberFormat="1" applyFont="1" applyFill="1" applyBorder="1" applyAlignment="1">
      <alignment horizontal="center" vertical="center"/>
    </xf>
    <xf numFmtId="3" fontId="8" fillId="0" borderId="1" xfId="0" applyNumberFormat="1" applyFont="1" applyFill="1" applyBorder="1" applyAlignment="1">
      <alignment horizontal="center" vertical="center" wrapText="1"/>
    </xf>
    <xf numFmtId="0" fontId="10" fillId="2" borderId="1" xfId="7" applyFont="1" applyFill="1" applyBorder="1" applyAlignment="1">
      <alignment horizontal="center" vertical="center" wrapText="1"/>
    </xf>
    <xf numFmtId="3" fontId="10" fillId="2" borderId="1" xfId="8" applyNumberFormat="1" applyFont="1" applyFill="1" applyBorder="1" applyAlignment="1">
      <alignment horizontal="right" vertical="center"/>
    </xf>
    <xf numFmtId="3" fontId="10" fillId="2" borderId="1" xfId="8" applyNumberFormat="1" applyFont="1" applyFill="1" applyBorder="1" applyAlignment="1">
      <alignment horizontal="center" vertical="center"/>
    </xf>
    <xf numFmtId="3" fontId="10" fillId="2" borderId="1" xfId="4" applyNumberFormat="1" applyFont="1" applyFill="1" applyBorder="1" applyAlignment="1">
      <alignment horizontal="center" vertical="center" wrapText="1"/>
    </xf>
    <xf numFmtId="0" fontId="3" fillId="2" borderId="1" xfId="1" applyFont="1" applyFill="1" applyBorder="1" applyAlignment="1">
      <alignment horizontal="center"/>
    </xf>
    <xf numFmtId="0" fontId="3" fillId="2" borderId="1" xfId="1" applyFont="1" applyFill="1" applyBorder="1"/>
    <xf numFmtId="0" fontId="11" fillId="2" borderId="1" xfId="1" applyFont="1" applyFill="1" applyBorder="1"/>
    <xf numFmtId="3" fontId="11" fillId="2" borderId="1" xfId="1" applyNumberFormat="1" applyFont="1" applyFill="1" applyBorder="1" applyAlignment="1"/>
    <xf numFmtId="0" fontId="11" fillId="2" borderId="1" xfId="1" applyFont="1" applyFill="1" applyBorder="1" applyAlignment="1"/>
    <xf numFmtId="0" fontId="13" fillId="0" borderId="1" xfId="0" applyFont="1" applyBorder="1" applyAlignment="1">
      <alignment horizontal="left" vertical="center" wrapText="1"/>
    </xf>
    <xf numFmtId="0" fontId="12" fillId="0" borderId="0" xfId="9"/>
    <xf numFmtId="49" fontId="5" fillId="2" borderId="1" xfId="0" applyNumberFormat="1" applyFont="1" applyFill="1" applyBorder="1" applyAlignment="1">
      <alignment horizontal="left" vertical="center" wrapText="1"/>
    </xf>
    <xf numFmtId="49" fontId="13" fillId="0" borderId="1" xfId="0" applyNumberFormat="1" applyFont="1" applyBorder="1" applyAlignment="1">
      <alignment horizontal="left" vertical="center" wrapText="1"/>
    </xf>
    <xf numFmtId="49" fontId="5" fillId="2" borderId="1" xfId="4" applyNumberFormat="1" applyFont="1" applyFill="1" applyBorder="1" applyAlignment="1">
      <alignment horizontal="left" vertical="center" wrapText="1"/>
    </xf>
    <xf numFmtId="49" fontId="5" fillId="0" borderId="1" xfId="0" applyNumberFormat="1" applyFont="1" applyFill="1" applyBorder="1" applyAlignment="1">
      <alignment horizontal="left" vertical="center" wrapText="1"/>
    </xf>
    <xf numFmtId="0" fontId="3" fillId="3" borderId="1" xfId="2" applyFont="1" applyFill="1" applyBorder="1" applyAlignment="1">
      <alignment horizontal="left" vertical="center"/>
    </xf>
    <xf numFmtId="0" fontId="8" fillId="0" borderId="2" xfId="2" applyFont="1" applyFill="1" applyBorder="1" applyAlignment="1">
      <alignment horizontal="center" vertical="center"/>
    </xf>
    <xf numFmtId="0" fontId="8" fillId="0" borderId="3" xfId="2" applyFont="1" applyFill="1" applyBorder="1" applyAlignment="1">
      <alignment horizontal="center" vertical="center"/>
    </xf>
    <xf numFmtId="0" fontId="10" fillId="0" borderId="1" xfId="2" applyFont="1" applyBorder="1" applyAlignment="1">
      <alignment horizontal="center" vertical="center"/>
    </xf>
    <xf numFmtId="49" fontId="3" fillId="2" borderId="1" xfId="1" applyNumberFormat="1" applyFont="1" applyFill="1" applyBorder="1" applyAlignment="1">
      <alignment horizontal="left" vertical="center" wrapText="1"/>
    </xf>
    <xf numFmtId="49" fontId="14" fillId="0" borderId="1" xfId="0" applyNumberFormat="1" applyFont="1" applyBorder="1" applyAlignment="1">
      <alignment horizontal="left" wrapText="1"/>
    </xf>
    <xf numFmtId="49" fontId="9" fillId="2" borderId="1" xfId="5" applyNumberFormat="1" applyFont="1" applyFill="1" applyBorder="1" applyAlignment="1">
      <alignment horizontal="left" vertical="center"/>
    </xf>
    <xf numFmtId="49" fontId="10" fillId="2" borderId="1" xfId="7" applyNumberFormat="1" applyFont="1" applyFill="1" applyBorder="1" applyAlignment="1">
      <alignment horizontal="left" vertical="center" wrapText="1"/>
    </xf>
    <xf numFmtId="49" fontId="11" fillId="2" borderId="1" xfId="1" applyNumberFormat="1" applyFont="1" applyFill="1" applyBorder="1" applyAlignment="1">
      <alignment horizontal="left"/>
    </xf>
    <xf numFmtId="49" fontId="0" fillId="0" borderId="0" xfId="0" applyNumberFormat="1" applyAlignment="1">
      <alignment horizontal="left"/>
    </xf>
  </cellXfs>
  <cellStyles count="10">
    <cellStyle name="Hyperlink" xfId="9" builtinId="8"/>
    <cellStyle name="Normal" xfId="0" builtinId="0"/>
    <cellStyle name="Normal 2" xfId="2"/>
    <cellStyle name="Normal 2 2 2" xfId="4"/>
    <cellStyle name="Normal 4 2" xfId="1"/>
    <cellStyle name="Normal 4 3 2" xfId="5"/>
    <cellStyle name="Normal 5" xfId="3"/>
    <cellStyle name="Normal 5 2 2" xfId="6"/>
    <cellStyle name="Normal 6" xfId="7"/>
    <cellStyle name="Percent 5" xfId="8"/>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patternFill>
      </fill>
    </dxf>
    <dxf>
      <font>
        <color rgb="FF9C0006"/>
      </font>
      <fill>
        <patternFill patternType="solid">
          <bgColor rgb="FFFFC7CE"/>
        </patternFill>
      </fil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thegioiic.com/ong-gen-chiu-nhiet-1mm" TargetMode="External"/><Relationship Id="rId18" Type="http://schemas.openxmlformats.org/officeDocument/2006/relationships/hyperlink" Target="https://robocon.vn/detail/dt43-dien-tro-cam-10k-ohm-10kr-12w.html" TargetMode="External"/><Relationship Id="rId26" Type="http://schemas.openxmlformats.org/officeDocument/2006/relationships/hyperlink" Target="https://dientutuyetnga.com/products/nhan-ban-cua-ic-dan-4013" TargetMode="External"/><Relationship Id="rId39" Type="http://schemas.openxmlformats.org/officeDocument/2006/relationships/hyperlink" Target="https://dientukhaidinh.com/cong-tac-nut-nhan-nha-reset-5-huong-da-dung-10x10mm-6p-10p-nhieu-kieu-dang-kde8582" TargetMode="External"/><Relationship Id="rId21" Type="http://schemas.openxmlformats.org/officeDocument/2006/relationships/hyperlink" Target="https://www.thegioiic.com/ha17555-ic-precision-timer-8-dip" TargetMode="External"/><Relationship Id="rId34" Type="http://schemas.openxmlformats.org/officeDocument/2006/relationships/hyperlink" Target="https://caka.vn/day-cam-test-board-nhieu-kich-co-65-soi-duc-duc" TargetMode="External"/><Relationship Id="rId42" Type="http://schemas.openxmlformats.org/officeDocument/2006/relationships/hyperlink" Target="https://linhkienchatluong.vn/diode-chinh-luu/1n4007-diode-chinh-luu-1a-1000v-chan-to-07x58mm-chinh-hang-mic-10c_sp572_ct6892.aspx" TargetMode="External"/><Relationship Id="rId47" Type="http://schemas.openxmlformats.org/officeDocument/2006/relationships/hyperlink" Target="https://vattudienlanhgiare.net/san-pham/Ong-dong-may-lanh-phi-12-Luvata-LHCT-1343.html" TargetMode="External"/><Relationship Id="rId50" Type="http://schemas.openxmlformats.org/officeDocument/2006/relationships/hyperlink" Target="https://chipn24.com/dip-ic-7414-74hc14-dip-14-74hc14n-ic-cong-not-schitt-trigger-6-cong-not-id769.html" TargetMode="External"/><Relationship Id="rId55" Type="http://schemas.openxmlformats.org/officeDocument/2006/relationships/hyperlink" Target="https://linhkienquynhdien.com/giay-xanh-giay-cach-dien-day-0-1mm" TargetMode="External"/><Relationship Id="rId7" Type="http://schemas.openxmlformats.org/officeDocument/2006/relationships/hyperlink" Target="https://dientutuyetnga.com/products/cong-tac-2-chau" TargetMode="External"/><Relationship Id="rId2" Type="http://schemas.openxmlformats.org/officeDocument/2006/relationships/hyperlink" Target="https://codienhaiau.com/product/day-dien-don-mem-cadivi-vcm-0-75-den/" TargetMode="External"/><Relationship Id="rId16" Type="http://schemas.openxmlformats.org/officeDocument/2006/relationships/hyperlink" Target="https://www.thegioiic.com/led-do-5mm-dau-bang-trong-suot" TargetMode="External"/><Relationship Id="rId29" Type="http://schemas.openxmlformats.org/officeDocument/2006/relationships/hyperlink" Target="https://baa.vn/vn/san-pham/ro-le-ban-dan-cho-thiet-bi-gia-nhiet-fotek-ssr-40da-h_489142" TargetMode="External"/><Relationship Id="rId11" Type="http://schemas.openxmlformats.org/officeDocument/2006/relationships/hyperlink" Target="https://codienhaiau.com/product/day-dien-doi-cadivi-vcmd-2x1-do/" TargetMode="External"/><Relationship Id="rId24" Type="http://schemas.openxmlformats.org/officeDocument/2006/relationships/hyperlink" Target="https://www.thegioiic.com/74ls164-ic-shift-register-1-element-8-bit-push-pull-14-soic" TargetMode="External"/><Relationship Id="rId32" Type="http://schemas.openxmlformats.org/officeDocument/2006/relationships/hyperlink" Target="https://dientutuyetnga.com/products/de-ic-16-chan-vuong-dip16" TargetMode="External"/><Relationship Id="rId37" Type="http://schemas.openxmlformats.org/officeDocument/2006/relationships/hyperlink" Target="https://linhkienthanhcong.com/tu-hoa-epcos-1000uf-450v-30x70mm" TargetMode="External"/><Relationship Id="rId40" Type="http://schemas.openxmlformats.org/officeDocument/2006/relationships/hyperlink" Target="https://hoachatvietlong.vn/san-pham/xang-pha-son-sat-ma-kem-son-dau-son-epoxy/" TargetMode="External"/><Relationship Id="rId45" Type="http://schemas.openxmlformats.org/officeDocument/2006/relationships/hyperlink" Target="http://kimloaimau.net/cuon-ong-dong-do-phi-6.35x0.71mm-8367" TargetMode="External"/><Relationship Id="rId53" Type="http://schemas.openxmlformats.org/officeDocument/2006/relationships/hyperlink" Target="https://banlinhkiendientu.vn/chiet-ap-tinh-chinh-rm065-100k/?gad_source=1&amp;gad_campaignid=8191264750&amp;gbraid=0AAAAADlkY95EJF2S_JNRu012I94DBRoEm&amp;gclid=CjwKCAiAvaLLBhBFEiwAYCNTf3oIpJae7liJJ5udUxF0B4m7nrXWalE1r_poT8AXhYZQG339yEFeVRoCsG8QAvD_BwE" TargetMode="External"/><Relationship Id="rId5" Type="http://schemas.openxmlformats.org/officeDocument/2006/relationships/hyperlink" Target="https://shopee.vn/product/95405680/26409615111?gads_t_sig=VTJGc2RHVmtYMTlxTFVSVVRrdENkUzJYdkg4SUFId3huV3BOemxRSlQvQm5uZEZkR1RzNlFUS1VERHltS3g3eWw0WXl1ZG41TFFoaEhwbmcyanlCcS9UTTRnTE8wdUlhb1Yrd0NUZUFMRFR2c2h2Rm5iSzJlYUlBUnRHdllnT3Q&amp;gad_source=1&amp;gad_campaign" TargetMode="External"/><Relationship Id="rId10" Type="http://schemas.openxmlformats.org/officeDocument/2006/relationships/hyperlink" Target="https://kamytools.com/bang-keo-dien-nano-to-nga-dung-5milx3-4-x20y-ban-le-1-cuon?srsltid=AfmBOoqgdWzgWYRtMz2hfP_cOcHbhIgD7h3KP_j6w5tCS1dq-lAQlFLQ" TargetMode="External"/><Relationship Id="rId19" Type="http://schemas.openxmlformats.org/officeDocument/2006/relationships/hyperlink" Target="https://www.thegioiic.com/dien-tro-1-kohm-1-4w-5-4-vong-mau" TargetMode="External"/><Relationship Id="rId31" Type="http://schemas.openxmlformats.org/officeDocument/2006/relationships/hyperlink" Target="https://www.thegioiic.com/de-ic-8-chan-vuong-hep-hai-hang-1a-60vac" TargetMode="External"/><Relationship Id="rId44" Type="http://schemas.openxmlformats.org/officeDocument/2006/relationships/hyperlink" Target="https://banlinhkiendientu.vn/a1013/?srsltid=AfmBOoqfbV33DalIewNgdgNc45C6BXlejizux0ChPgajlXVVU3EK8M1g" TargetMode="External"/><Relationship Id="rId52" Type="http://schemas.openxmlformats.org/officeDocument/2006/relationships/hyperlink" Target="https://dientutuonglai.com/ic-74ls74-dip14.html" TargetMode="External"/><Relationship Id="rId4" Type="http://schemas.openxmlformats.org/officeDocument/2006/relationships/hyperlink" Target="https://vnecco.com/mang-nhua-35x35-dai-2-met-cn?gad_source=1&amp;gad_campaignid=10907929415&amp;gbraid=0AAAAAC6WZJOPWnAl0kgUd2BvAH0zrEjQn&amp;gclid=CjwKCAiAvaLLBhBFEiwAYCNTf6AmqnzadrHuzDWaRjoREsuKpD60ep0rxW_vRU1rIvpvXrbVEKneehoCoIwQAvD_BwE" TargetMode="External"/><Relationship Id="rId9" Type="http://schemas.openxmlformats.org/officeDocument/2006/relationships/hyperlink" Target="https://thietbidienphunguyen.com/san-pham/thiet-bi-dien/mat-o-don-1-cong-tac-s18ux-sino.html" TargetMode="External"/><Relationship Id="rId14" Type="http://schemas.openxmlformats.org/officeDocument/2006/relationships/hyperlink" Target="https://www.thegioiic.com/ong-gen-chiu-nhiet-1mm" TargetMode="External"/><Relationship Id="rId22" Type="http://schemas.openxmlformats.org/officeDocument/2006/relationships/hyperlink" Target="https://www.linhkienchatluong.vn/urlic-ho-74---ic-logic/74ls08-sn74ls08n-dip-14-chinh-hang-ti_sp550_ct2228.aspx" TargetMode="External"/><Relationship Id="rId27" Type="http://schemas.openxmlformats.org/officeDocument/2006/relationships/hyperlink" Target="https://dientutuyetnga.com/products/nhan-ban-cua-ic-dan-4013" TargetMode="External"/><Relationship Id="rId30" Type="http://schemas.openxmlformats.org/officeDocument/2006/relationships/hyperlink" Target="https://www.thegioiic.com/de-ic-8-chan-vuong-hep-hai-hang-1a-60vac" TargetMode="External"/><Relationship Id="rId35" Type="http://schemas.openxmlformats.org/officeDocument/2006/relationships/hyperlink" Target="https://icdayroi.com/de-test-board-bread-board-165x54mm" TargetMode="External"/><Relationship Id="rId43" Type="http://schemas.openxmlformats.org/officeDocument/2006/relationships/hyperlink" Target="https://linhkienchatluong.vn/ic-on-ap/a1013-2sa1013-pnp-transistor-1a-160v-sot-89-chinh-hang-jcet_sp1000_ct17052.aspx" TargetMode="External"/><Relationship Id="rId48" Type="http://schemas.openxmlformats.org/officeDocument/2006/relationships/hyperlink" Target="https://dienmayhaianh.vn/san-pham/ti-nap-gas-lanh-3172.html" TargetMode="External"/><Relationship Id="rId56" Type="http://schemas.openxmlformats.org/officeDocument/2006/relationships/printerSettings" Target="../printerSettings/printerSettings1.bin"/><Relationship Id="rId8" Type="http://schemas.openxmlformats.org/officeDocument/2006/relationships/hyperlink" Target="https://thietbidienphunguyen.com/san-pham/thiet-bi-dien/mat-4-cong-tac-s184-x-sino.html" TargetMode="External"/><Relationship Id="rId51" Type="http://schemas.openxmlformats.org/officeDocument/2006/relationships/hyperlink" Target="https://banlinhkiendientu.vn/sn74hc14n/?gad_source=1&amp;gad_campaignid=8191264750&amp;gbraid=0AAAAADlkY95EJF2S_JNRu012I94DBRoEm&amp;gclid=CjwKCAiAvaLLBhBFEiwAYCNTf-OWjCrvjfL2p0OgPLMszOOdqy4xo9lOb5s5xYZ0pFRCPupdgznbWRoCGjQQAvD_BwE" TargetMode="External"/><Relationship Id="rId3" Type="http://schemas.openxmlformats.org/officeDocument/2006/relationships/hyperlink" Target="https://tamviet.pro/cau-dau-25a-12p/?srsltid=AfmBOor7ThyVP5RvtJR6LOMUhEy3hGWnBfSWA-JrPEH8LTGWVvxQLGic" TargetMode="External"/><Relationship Id="rId12" Type="http://schemas.openxmlformats.org/officeDocument/2006/relationships/hyperlink" Target="https://www.thegioiic.com/ong-gen-chiu-nhiet-1mm" TargetMode="External"/><Relationship Id="rId17" Type="http://schemas.openxmlformats.org/officeDocument/2006/relationships/hyperlink" Target="https://dientunhattung.com/san-pham/dien-tro-100k-1-4w-5-mau-dien-tro-1-4w-10con/" TargetMode="External"/><Relationship Id="rId25" Type="http://schemas.openxmlformats.org/officeDocument/2006/relationships/hyperlink" Target="https://dientunhattung.com/san-pham/ic-so-sn74ls86-cong-xor-ic-cong-logic-2-input-dip/" TargetMode="External"/><Relationship Id="rId33" Type="http://schemas.openxmlformats.org/officeDocument/2006/relationships/hyperlink" Target="https://dientutuonglai.com/board-test-gl-no-12-175-67-9mm.html" TargetMode="External"/><Relationship Id="rId38" Type="http://schemas.openxmlformats.org/officeDocument/2006/relationships/hyperlink" Target="https://www.thegioiic.com/tu-hoa-4700uf-35v-18x32mm-xuyen-lo" TargetMode="External"/><Relationship Id="rId46" Type="http://schemas.openxmlformats.org/officeDocument/2006/relationships/hyperlink" Target="https://vattunganhlanh.vn/thong-tin-san-pham/ong-dong-thai-lan-phi-10-cuon-15m/" TargetMode="External"/><Relationship Id="rId20" Type="http://schemas.openxmlformats.org/officeDocument/2006/relationships/hyperlink" Target="https://icdayroi.com/dien-tro-330-ohm-1-4w-goi-50-con" TargetMode="External"/><Relationship Id="rId41" Type="http://schemas.openxmlformats.org/officeDocument/2006/relationships/hyperlink" Target="https://nhathuoclongchau.com.vn/trang-thiet-bi-y-te/con-90-do-vp-500ml-18093.html" TargetMode="External"/><Relationship Id="rId54" Type="http://schemas.openxmlformats.org/officeDocument/2006/relationships/hyperlink" Target="https://shopee.vn/product/18667217/2180819310?gads_t_sig=VTJGc2RHVmtYMTlxTFVSVVRrdENkZExrZG1KbGNQZ3dJbEMwUStXSm5ZcUdKQlRaTFBlc2xxNjkrTGMwQ3RoTXp1NzlHQk5xODVPMUtIUnZRMVFPTWRyclZyRS85UlJxUFBqYmdjdXBFb1NwUUFYR2FoWjdqTVNKRjFVaFR3N0g&amp;gad_source=1&amp;gad_campaigni" TargetMode="External"/><Relationship Id="rId1" Type="http://schemas.openxmlformats.org/officeDocument/2006/relationships/hyperlink" Target="https://codienhaiau.com/product/day-dien-don-mem-cadivi-vcm-0-75-den/" TargetMode="External"/><Relationship Id="rId6" Type="http://schemas.openxmlformats.org/officeDocument/2006/relationships/hyperlink" Target="https://dientutuyetnga.com/products/cong-tac-2-chau" TargetMode="External"/><Relationship Id="rId15" Type="http://schemas.openxmlformats.org/officeDocument/2006/relationships/hyperlink" Target="https://nhandaithanh.com/products/bo-2-pin-aaa-than-tieu-den-panasonic-neo-r03nt-2s-v9?ref=haraads&amp;utm_campaign=haraads&amp;utm_medium=paid&amp;utm_source=google&amp;gad_source=1&amp;gad_campaignid=22259962467&amp;gbraid=0AAAAADuztKadsLeGkjMonMPdwc1bfmMMV&amp;gclid=CjwKCAiAvaLLB" TargetMode="External"/><Relationship Id="rId23" Type="http://schemas.openxmlformats.org/officeDocument/2006/relationships/hyperlink" Target="https://dientutuonglai.com/ic-74ls00-dip14.html" TargetMode="External"/><Relationship Id="rId28" Type="http://schemas.openxmlformats.org/officeDocument/2006/relationships/hyperlink" Target="https://dientutuyetnga.com/products/nhan-ban-cua-ic-dan-4013" TargetMode="External"/><Relationship Id="rId36" Type="http://schemas.openxmlformats.org/officeDocument/2006/relationships/hyperlink" Target="https://www.thegioiic.com/thiec-han-0-6-sn99-3-cu0-7-800g-xty" TargetMode="External"/><Relationship Id="rId49" Type="http://schemas.openxmlformats.org/officeDocument/2006/relationships/hyperlink" Target="https://lanh.com.vn/san-pham/tiet-luu-cap-ong-ma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3"/>
  <sheetViews>
    <sheetView tabSelected="1" topLeftCell="A17" workbookViewId="0">
      <selection activeCell="G19" sqref="G19"/>
    </sheetView>
  </sheetViews>
  <sheetFormatPr defaultRowHeight="15"/>
  <cols>
    <col min="2" max="2" width="34.140625" customWidth="1"/>
    <col min="4" max="4" width="23.85546875" customWidth="1"/>
    <col min="5" max="5" width="38.42578125" style="70" customWidth="1"/>
    <col min="6" max="6" width="28.140625" customWidth="1"/>
    <col min="7" max="7" width="24" customWidth="1"/>
    <col min="9" max="9" width="17.42578125" customWidth="1"/>
    <col min="10" max="10" width="18.85546875" customWidth="1"/>
  </cols>
  <sheetData>
    <row r="1" spans="1:10" ht="31.5">
      <c r="A1" s="1" t="s">
        <v>0</v>
      </c>
      <c r="B1" s="2" t="s">
        <v>1</v>
      </c>
      <c r="C1" s="2" t="s">
        <v>2</v>
      </c>
      <c r="D1" s="2" t="s">
        <v>3</v>
      </c>
      <c r="E1" s="65" t="s">
        <v>95</v>
      </c>
      <c r="F1" s="2" t="s">
        <v>96</v>
      </c>
      <c r="G1" s="3" t="s">
        <v>4</v>
      </c>
      <c r="H1" s="3" t="s">
        <v>5</v>
      </c>
      <c r="I1" s="3" t="s">
        <v>6</v>
      </c>
    </row>
    <row r="2" spans="1:10" ht="15.75">
      <c r="A2" s="61" t="s">
        <v>7</v>
      </c>
      <c r="B2" s="61"/>
      <c r="C2" s="61"/>
      <c r="D2" s="61"/>
      <c r="E2" s="61"/>
      <c r="F2" s="61"/>
      <c r="G2" s="61"/>
      <c r="H2" s="61"/>
      <c r="I2" s="61"/>
      <c r="J2" t="s">
        <v>107</v>
      </c>
    </row>
    <row r="3" spans="1:10" ht="63">
      <c r="A3" s="4">
        <v>1</v>
      </c>
      <c r="B3" s="5" t="s">
        <v>8</v>
      </c>
      <c r="C3" s="6" t="s">
        <v>9</v>
      </c>
      <c r="D3" s="7" t="s">
        <v>10</v>
      </c>
      <c r="E3" s="58" t="s">
        <v>97</v>
      </c>
      <c r="F3" s="7" t="s">
        <v>98</v>
      </c>
      <c r="G3" s="8">
        <v>15000</v>
      </c>
      <c r="H3" s="9">
        <v>30</v>
      </c>
      <c r="I3" s="10">
        <f>G3*H3</f>
        <v>450000</v>
      </c>
      <c r="J3" t="s">
        <v>109</v>
      </c>
    </row>
    <row r="4" spans="1:10" ht="94.5">
      <c r="A4" s="4">
        <v>2</v>
      </c>
      <c r="B4" s="11" t="s">
        <v>11</v>
      </c>
      <c r="C4" s="6" t="s">
        <v>12</v>
      </c>
      <c r="D4" s="7" t="s">
        <v>10</v>
      </c>
      <c r="E4" s="58" t="s">
        <v>99</v>
      </c>
      <c r="F4" s="55" t="s">
        <v>100</v>
      </c>
      <c r="G4" s="12">
        <v>10000</v>
      </c>
      <c r="H4" s="9">
        <v>60</v>
      </c>
      <c r="I4" s="10">
        <f t="shared" ref="I4:I67" si="0">G4*H4</f>
        <v>600000</v>
      </c>
      <c r="J4" t="s">
        <v>109</v>
      </c>
    </row>
    <row r="5" spans="1:10" ht="94.5">
      <c r="A5" s="4">
        <v>3</v>
      </c>
      <c r="B5" s="5" t="s">
        <v>13</v>
      </c>
      <c r="C5" s="6" t="s">
        <v>12</v>
      </c>
      <c r="D5" s="7" t="s">
        <v>10</v>
      </c>
      <c r="E5" s="58" t="s">
        <v>101</v>
      </c>
      <c r="F5" s="55" t="s">
        <v>100</v>
      </c>
      <c r="G5" s="12">
        <v>15000</v>
      </c>
      <c r="H5" s="9">
        <v>30</v>
      </c>
      <c r="I5" s="10">
        <f t="shared" si="0"/>
        <v>450000</v>
      </c>
      <c r="J5" t="s">
        <v>109</v>
      </c>
    </row>
    <row r="6" spans="1:10" ht="195">
      <c r="A6" s="4">
        <v>4</v>
      </c>
      <c r="B6" s="11" t="s">
        <v>14</v>
      </c>
      <c r="C6" s="6" t="s">
        <v>9</v>
      </c>
      <c r="D6" s="7" t="s">
        <v>10</v>
      </c>
      <c r="E6" s="57" t="s">
        <v>102</v>
      </c>
      <c r="F6" s="55" t="s">
        <v>100</v>
      </c>
      <c r="G6" s="12">
        <v>18000</v>
      </c>
      <c r="H6" s="13">
        <v>30</v>
      </c>
      <c r="I6" s="10">
        <f t="shared" si="0"/>
        <v>540000</v>
      </c>
      <c r="J6" t="s">
        <v>109</v>
      </c>
    </row>
    <row r="7" spans="1:10" ht="195">
      <c r="A7" s="4">
        <v>5</v>
      </c>
      <c r="B7" s="11" t="s">
        <v>15</v>
      </c>
      <c r="C7" s="6" t="s">
        <v>9</v>
      </c>
      <c r="D7" s="7" t="s">
        <v>10</v>
      </c>
      <c r="E7" s="57" t="s">
        <v>103</v>
      </c>
      <c r="F7" s="55" t="s">
        <v>100</v>
      </c>
      <c r="G7" s="12">
        <v>20000</v>
      </c>
      <c r="H7" s="9">
        <v>30</v>
      </c>
      <c r="I7" s="10">
        <f t="shared" si="0"/>
        <v>600000</v>
      </c>
      <c r="J7" t="s">
        <v>109</v>
      </c>
    </row>
    <row r="8" spans="1:10" ht="164.25" customHeight="1">
      <c r="A8" s="4">
        <v>6</v>
      </c>
      <c r="B8" s="14" t="s">
        <v>16</v>
      </c>
      <c r="C8" s="15" t="s">
        <v>12</v>
      </c>
      <c r="D8" s="7" t="s">
        <v>10</v>
      </c>
      <c r="E8" s="58" t="s">
        <v>104</v>
      </c>
      <c r="F8" s="7" t="s">
        <v>105</v>
      </c>
      <c r="G8" s="16">
        <v>8500</v>
      </c>
      <c r="H8" s="13">
        <v>100</v>
      </c>
      <c r="I8" s="10">
        <f t="shared" si="0"/>
        <v>850000</v>
      </c>
      <c r="J8" s="56" t="s">
        <v>108</v>
      </c>
    </row>
    <row r="9" spans="1:10" ht="60">
      <c r="A9" s="4">
        <v>7</v>
      </c>
      <c r="B9" s="14" t="s">
        <v>17</v>
      </c>
      <c r="C9" s="15" t="s">
        <v>12</v>
      </c>
      <c r="D9" s="7" t="s">
        <v>10</v>
      </c>
      <c r="E9" s="57" t="s">
        <v>106</v>
      </c>
      <c r="F9" s="7" t="s">
        <v>105</v>
      </c>
      <c r="G9" s="16">
        <v>5000</v>
      </c>
      <c r="H9" s="9">
        <v>100</v>
      </c>
      <c r="I9" s="10">
        <f t="shared" si="0"/>
        <v>500000</v>
      </c>
      <c r="J9" s="56" t="s">
        <v>108</v>
      </c>
    </row>
    <row r="10" spans="1:10" ht="150">
      <c r="A10" s="4">
        <v>8</v>
      </c>
      <c r="B10" s="14" t="s">
        <v>18</v>
      </c>
      <c r="C10" s="15" t="s">
        <v>19</v>
      </c>
      <c r="D10" s="7" t="s">
        <v>10</v>
      </c>
      <c r="E10" s="57" t="s">
        <v>110</v>
      </c>
      <c r="F10" s="7" t="s">
        <v>111</v>
      </c>
      <c r="G10" s="12">
        <v>44000</v>
      </c>
      <c r="H10" s="13">
        <v>50</v>
      </c>
      <c r="I10" s="10">
        <f t="shared" si="0"/>
        <v>2200000</v>
      </c>
      <c r="J10" s="56" t="s">
        <v>112</v>
      </c>
    </row>
    <row r="11" spans="1:10" ht="60">
      <c r="A11" s="4">
        <v>9</v>
      </c>
      <c r="B11" s="17" t="s">
        <v>20</v>
      </c>
      <c r="C11" s="18" t="s">
        <v>21</v>
      </c>
      <c r="D11" s="7" t="s">
        <v>10</v>
      </c>
      <c r="E11" s="57" t="s">
        <v>113</v>
      </c>
      <c r="F11" s="7" t="s">
        <v>98</v>
      </c>
      <c r="G11" s="12">
        <v>50000</v>
      </c>
      <c r="H11" s="9">
        <v>40</v>
      </c>
      <c r="I11" s="10">
        <f t="shared" si="0"/>
        <v>2000000</v>
      </c>
      <c r="J11" s="56" t="s">
        <v>117</v>
      </c>
    </row>
    <row r="12" spans="1:10" ht="81.75">
      <c r="A12" s="4">
        <v>10</v>
      </c>
      <c r="B12" s="19" t="s">
        <v>22</v>
      </c>
      <c r="C12" s="15" t="s">
        <v>23</v>
      </c>
      <c r="D12" s="7" t="s">
        <v>10</v>
      </c>
      <c r="E12" s="66" t="s">
        <v>114</v>
      </c>
      <c r="F12" s="7" t="s">
        <v>115</v>
      </c>
      <c r="G12" s="12">
        <v>100000</v>
      </c>
      <c r="H12" s="9">
        <v>15</v>
      </c>
      <c r="I12" s="10">
        <f t="shared" si="0"/>
        <v>1500000</v>
      </c>
      <c r="J12" s="56" t="s">
        <v>116</v>
      </c>
    </row>
    <row r="13" spans="1:10" ht="75">
      <c r="A13" s="4">
        <v>11</v>
      </c>
      <c r="B13" s="19" t="s">
        <v>24</v>
      </c>
      <c r="C13" s="20" t="s">
        <v>25</v>
      </c>
      <c r="D13" s="21" t="s">
        <v>10</v>
      </c>
      <c r="E13" s="59" t="s">
        <v>118</v>
      </c>
      <c r="F13" s="21" t="s">
        <v>115</v>
      </c>
      <c r="G13" s="22">
        <v>20000</v>
      </c>
      <c r="H13" s="9">
        <v>62</v>
      </c>
      <c r="I13" s="10">
        <f t="shared" si="0"/>
        <v>1240000</v>
      </c>
      <c r="J13" s="56" t="s">
        <v>119</v>
      </c>
    </row>
    <row r="14" spans="1:10" ht="75">
      <c r="A14" s="4">
        <v>12</v>
      </c>
      <c r="B14" s="19" t="s">
        <v>26</v>
      </c>
      <c r="C14" s="20" t="s">
        <v>25</v>
      </c>
      <c r="D14" s="21" t="s">
        <v>10</v>
      </c>
      <c r="E14" s="59" t="s">
        <v>118</v>
      </c>
      <c r="F14" s="21" t="s">
        <v>115</v>
      </c>
      <c r="G14" s="22">
        <v>25000</v>
      </c>
      <c r="H14" s="9">
        <v>62</v>
      </c>
      <c r="I14" s="10">
        <f t="shared" si="0"/>
        <v>1550000</v>
      </c>
      <c r="J14" s="56" t="s">
        <v>119</v>
      </c>
    </row>
    <row r="15" spans="1:10" ht="105">
      <c r="A15" s="4">
        <v>13</v>
      </c>
      <c r="B15" s="19" t="s">
        <v>27</v>
      </c>
      <c r="C15" s="20" t="s">
        <v>25</v>
      </c>
      <c r="D15" s="21" t="s">
        <v>10</v>
      </c>
      <c r="E15" s="59" t="s">
        <v>121</v>
      </c>
      <c r="F15" s="21" t="s">
        <v>115</v>
      </c>
      <c r="G15" s="22">
        <v>20000</v>
      </c>
      <c r="H15" s="9">
        <v>24</v>
      </c>
      <c r="I15" s="10">
        <f t="shared" si="0"/>
        <v>480000</v>
      </c>
      <c r="J15" s="56" t="s">
        <v>120</v>
      </c>
    </row>
    <row r="16" spans="1:10" ht="120">
      <c r="A16" s="4">
        <v>14</v>
      </c>
      <c r="B16" s="19" t="s">
        <v>28</v>
      </c>
      <c r="C16" s="20" t="s">
        <v>25</v>
      </c>
      <c r="D16" s="7" t="s">
        <v>10</v>
      </c>
      <c r="E16" s="57" t="s">
        <v>123</v>
      </c>
      <c r="F16" s="7" t="s">
        <v>115</v>
      </c>
      <c r="G16" s="22">
        <v>35000</v>
      </c>
      <c r="H16" s="9">
        <v>24</v>
      </c>
      <c r="I16" s="10">
        <f t="shared" si="0"/>
        <v>840000</v>
      </c>
      <c r="J16" s="56" t="s">
        <v>122</v>
      </c>
    </row>
    <row r="17" spans="1:10" ht="60">
      <c r="A17" s="4">
        <v>15</v>
      </c>
      <c r="B17" s="23" t="s">
        <v>29</v>
      </c>
      <c r="C17" s="20" t="s">
        <v>30</v>
      </c>
      <c r="D17" s="7" t="s">
        <v>10</v>
      </c>
      <c r="E17" s="57" t="s">
        <v>125</v>
      </c>
      <c r="F17" s="7" t="s">
        <v>124</v>
      </c>
      <c r="G17" s="12">
        <v>17000</v>
      </c>
      <c r="H17" s="24">
        <v>15</v>
      </c>
      <c r="I17" s="10">
        <f t="shared" si="0"/>
        <v>255000</v>
      </c>
      <c r="J17" s="56" t="s">
        <v>126</v>
      </c>
    </row>
    <row r="18" spans="1:10" ht="60">
      <c r="A18" s="4">
        <v>16</v>
      </c>
      <c r="B18" s="25" t="s">
        <v>31</v>
      </c>
      <c r="C18" s="20" t="s">
        <v>12</v>
      </c>
      <c r="D18" s="7" t="s">
        <v>10</v>
      </c>
      <c r="E18" s="57" t="s">
        <v>127</v>
      </c>
      <c r="F18" s="7" t="s">
        <v>105</v>
      </c>
      <c r="G18" s="22">
        <v>11000</v>
      </c>
      <c r="H18" s="9">
        <v>100</v>
      </c>
      <c r="I18" s="10">
        <f t="shared" si="0"/>
        <v>1100000</v>
      </c>
      <c r="J18" s="56" t="s">
        <v>128</v>
      </c>
    </row>
    <row r="19" spans="1:10" ht="30">
      <c r="A19" s="4">
        <v>17</v>
      </c>
      <c r="B19" s="19" t="s">
        <v>32</v>
      </c>
      <c r="C19" s="20" t="s">
        <v>12</v>
      </c>
      <c r="D19" s="7" t="s">
        <v>10</v>
      </c>
      <c r="E19" s="57"/>
      <c r="F19" s="7" t="s">
        <v>98</v>
      </c>
      <c r="G19" s="22">
        <v>110000</v>
      </c>
      <c r="H19" s="13">
        <v>24</v>
      </c>
      <c r="I19" s="10">
        <f t="shared" si="0"/>
        <v>2640000</v>
      </c>
    </row>
    <row r="20" spans="1:10" ht="105">
      <c r="A20" s="4">
        <v>18</v>
      </c>
      <c r="B20" s="19" t="s">
        <v>33</v>
      </c>
      <c r="C20" s="20" t="s">
        <v>12</v>
      </c>
      <c r="D20" s="7" t="s">
        <v>10</v>
      </c>
      <c r="E20" s="57" t="s">
        <v>130</v>
      </c>
      <c r="F20" s="7" t="s">
        <v>98</v>
      </c>
      <c r="G20" s="22">
        <v>5000</v>
      </c>
      <c r="H20" s="13">
        <v>24</v>
      </c>
      <c r="I20" s="10">
        <f t="shared" si="0"/>
        <v>120000</v>
      </c>
      <c r="J20" s="56" t="s">
        <v>129</v>
      </c>
    </row>
    <row r="21" spans="1:10" ht="45">
      <c r="A21" s="4">
        <v>19</v>
      </c>
      <c r="B21" s="19" t="s">
        <v>34</v>
      </c>
      <c r="C21" s="20" t="s">
        <v>30</v>
      </c>
      <c r="D21" s="7" t="s">
        <v>10</v>
      </c>
      <c r="E21" s="57" t="s">
        <v>212</v>
      </c>
      <c r="F21" s="7" t="s">
        <v>98</v>
      </c>
      <c r="G21" s="22">
        <v>50000</v>
      </c>
      <c r="H21" s="13">
        <v>24</v>
      </c>
      <c r="I21" s="10">
        <f t="shared" si="0"/>
        <v>1200000</v>
      </c>
      <c r="J21" s="56" t="s">
        <v>211</v>
      </c>
    </row>
    <row r="22" spans="1:10" ht="105">
      <c r="A22" s="4">
        <v>20</v>
      </c>
      <c r="B22" s="19" t="s">
        <v>35</v>
      </c>
      <c r="C22" s="20" t="s">
        <v>12</v>
      </c>
      <c r="D22" s="7" t="s">
        <v>10</v>
      </c>
      <c r="E22" s="57" t="s">
        <v>130</v>
      </c>
      <c r="F22" s="7" t="s">
        <v>98</v>
      </c>
      <c r="G22" s="22">
        <v>5000</v>
      </c>
      <c r="H22" s="13">
        <v>48</v>
      </c>
      <c r="I22" s="10">
        <f t="shared" si="0"/>
        <v>240000</v>
      </c>
      <c r="J22" s="56" t="s">
        <v>129</v>
      </c>
    </row>
    <row r="23" spans="1:10" ht="105">
      <c r="A23" s="4">
        <v>21</v>
      </c>
      <c r="B23" s="19" t="s">
        <v>36</v>
      </c>
      <c r="C23" s="20" t="s">
        <v>12</v>
      </c>
      <c r="D23" s="7" t="s">
        <v>10</v>
      </c>
      <c r="E23" s="57" t="s">
        <v>130</v>
      </c>
      <c r="F23" s="7" t="s">
        <v>98</v>
      </c>
      <c r="G23" s="22">
        <v>5000</v>
      </c>
      <c r="H23" s="13">
        <v>48</v>
      </c>
      <c r="I23" s="10">
        <f t="shared" si="0"/>
        <v>240000</v>
      </c>
      <c r="J23" s="56" t="s">
        <v>129</v>
      </c>
    </row>
    <row r="24" spans="1:10" ht="101.25" customHeight="1">
      <c r="A24" s="4">
        <v>22</v>
      </c>
      <c r="B24" s="19" t="s">
        <v>37</v>
      </c>
      <c r="C24" s="20" t="s">
        <v>38</v>
      </c>
      <c r="D24" s="7" t="s">
        <v>10</v>
      </c>
      <c r="E24" s="57" t="s">
        <v>132</v>
      </c>
      <c r="F24" s="7" t="s">
        <v>98</v>
      </c>
      <c r="G24" s="22">
        <v>883000</v>
      </c>
      <c r="H24" s="13">
        <v>10</v>
      </c>
      <c r="I24" s="10">
        <f t="shared" si="0"/>
        <v>8830000</v>
      </c>
      <c r="J24" s="56" t="s">
        <v>131</v>
      </c>
    </row>
    <row r="25" spans="1:10" ht="60">
      <c r="A25" s="4">
        <v>23</v>
      </c>
      <c r="B25" s="19" t="s">
        <v>39</v>
      </c>
      <c r="C25" s="20" t="s">
        <v>38</v>
      </c>
      <c r="D25" s="7" t="s">
        <v>10</v>
      </c>
      <c r="E25" s="57" t="s">
        <v>132</v>
      </c>
      <c r="F25" s="7" t="s">
        <v>98</v>
      </c>
      <c r="G25" s="22">
        <v>800000</v>
      </c>
      <c r="H25" s="13">
        <v>20</v>
      </c>
      <c r="I25" s="10">
        <f t="shared" si="0"/>
        <v>16000000</v>
      </c>
      <c r="J25" s="56" t="s">
        <v>131</v>
      </c>
    </row>
    <row r="26" spans="1:10" ht="45">
      <c r="A26" s="4">
        <v>24</v>
      </c>
      <c r="B26" s="19" t="s">
        <v>40</v>
      </c>
      <c r="C26" s="20" t="s">
        <v>41</v>
      </c>
      <c r="D26" s="7" t="s">
        <v>10</v>
      </c>
      <c r="E26" s="57" t="s">
        <v>134</v>
      </c>
      <c r="F26" s="7" t="s">
        <v>133</v>
      </c>
      <c r="G26" s="22">
        <v>30000</v>
      </c>
      <c r="H26" s="13">
        <v>19</v>
      </c>
      <c r="I26" s="10">
        <f t="shared" si="0"/>
        <v>570000</v>
      </c>
      <c r="J26" s="56" t="s">
        <v>135</v>
      </c>
    </row>
    <row r="27" spans="1:10">
      <c r="A27" s="4">
        <v>25</v>
      </c>
      <c r="B27" s="19" t="s">
        <v>42</v>
      </c>
      <c r="C27" s="20" t="s">
        <v>12</v>
      </c>
      <c r="D27" s="7" t="s">
        <v>10</v>
      </c>
      <c r="E27" s="57"/>
      <c r="F27" s="7" t="s">
        <v>98</v>
      </c>
      <c r="G27" s="22">
        <v>120000</v>
      </c>
      <c r="H27" s="24">
        <v>5</v>
      </c>
      <c r="I27" s="10">
        <f t="shared" si="0"/>
        <v>600000</v>
      </c>
      <c r="J27" s="56" t="s">
        <v>213</v>
      </c>
    </row>
    <row r="28" spans="1:10" ht="94.5">
      <c r="A28" s="4">
        <v>26</v>
      </c>
      <c r="B28" s="19" t="s">
        <v>43</v>
      </c>
      <c r="C28" s="20" t="s">
        <v>44</v>
      </c>
      <c r="D28" s="7" t="s">
        <v>10</v>
      </c>
      <c r="E28" s="58" t="s">
        <v>136</v>
      </c>
      <c r="F28" s="7" t="s">
        <v>98</v>
      </c>
      <c r="G28" s="22">
        <v>5000</v>
      </c>
      <c r="H28" s="9">
        <v>140</v>
      </c>
      <c r="I28" s="10">
        <f t="shared" si="0"/>
        <v>700000</v>
      </c>
      <c r="J28" s="56" t="s">
        <v>137</v>
      </c>
    </row>
    <row r="29" spans="1:10" ht="47.25">
      <c r="A29" s="4">
        <v>27</v>
      </c>
      <c r="B29" s="19" t="s">
        <v>45</v>
      </c>
      <c r="C29" s="20" t="s">
        <v>44</v>
      </c>
      <c r="D29" s="7" t="s">
        <v>10</v>
      </c>
      <c r="E29" s="58" t="s">
        <v>139</v>
      </c>
      <c r="F29" s="7" t="s">
        <v>98</v>
      </c>
      <c r="G29" s="22">
        <v>2000</v>
      </c>
      <c r="H29" s="13">
        <v>30</v>
      </c>
      <c r="I29" s="10">
        <f t="shared" si="0"/>
        <v>60000</v>
      </c>
      <c r="J29" s="56" t="s">
        <v>138</v>
      </c>
    </row>
    <row r="30" spans="1:10" ht="78.75">
      <c r="A30" s="4">
        <v>28</v>
      </c>
      <c r="B30" s="19" t="s">
        <v>46</v>
      </c>
      <c r="C30" s="20" t="s">
        <v>44</v>
      </c>
      <c r="D30" s="7" t="s">
        <v>10</v>
      </c>
      <c r="E30" s="58" t="s">
        <v>140</v>
      </c>
      <c r="F30" s="7" t="s">
        <v>98</v>
      </c>
      <c r="G30" s="22">
        <v>2000</v>
      </c>
      <c r="H30" s="13">
        <v>30</v>
      </c>
      <c r="I30" s="10">
        <f t="shared" si="0"/>
        <v>60000</v>
      </c>
      <c r="J30" s="56" t="s">
        <v>141</v>
      </c>
    </row>
    <row r="31" spans="1:10" ht="90">
      <c r="A31" s="4">
        <v>29</v>
      </c>
      <c r="B31" s="19" t="s">
        <v>47</v>
      </c>
      <c r="C31" s="20" t="s">
        <v>44</v>
      </c>
      <c r="D31" s="7" t="s">
        <v>10</v>
      </c>
      <c r="E31" s="57" t="s">
        <v>142</v>
      </c>
      <c r="F31" s="7" t="s">
        <v>98</v>
      </c>
      <c r="G31" s="22">
        <v>2000</v>
      </c>
      <c r="H31" s="13">
        <v>30</v>
      </c>
      <c r="I31" s="10">
        <f t="shared" si="0"/>
        <v>60000</v>
      </c>
      <c r="J31" s="56" t="s">
        <v>143</v>
      </c>
    </row>
    <row r="32" spans="1:10" ht="60">
      <c r="A32" s="4">
        <v>30</v>
      </c>
      <c r="B32" s="19" t="s">
        <v>48</v>
      </c>
      <c r="C32" s="20" t="s">
        <v>44</v>
      </c>
      <c r="D32" s="7" t="s">
        <v>10</v>
      </c>
      <c r="E32" s="57" t="s">
        <v>145</v>
      </c>
      <c r="F32" s="7" t="s">
        <v>98</v>
      </c>
      <c r="G32" s="22">
        <v>2000</v>
      </c>
      <c r="H32" s="13">
        <v>30</v>
      </c>
      <c r="I32" s="10">
        <f t="shared" si="0"/>
        <v>60000</v>
      </c>
      <c r="J32" s="56" t="s">
        <v>144</v>
      </c>
    </row>
    <row r="33" spans="1:10" ht="90">
      <c r="A33" s="4">
        <v>31</v>
      </c>
      <c r="B33" s="19" t="s">
        <v>49</v>
      </c>
      <c r="C33" s="20" t="s">
        <v>44</v>
      </c>
      <c r="D33" s="7" t="s">
        <v>10</v>
      </c>
      <c r="E33" s="57" t="s">
        <v>147</v>
      </c>
      <c r="F33" s="7" t="s">
        <v>98</v>
      </c>
      <c r="G33" s="22">
        <v>2000</v>
      </c>
      <c r="H33" s="13">
        <v>30</v>
      </c>
      <c r="I33" s="10">
        <f t="shared" si="0"/>
        <v>60000</v>
      </c>
    </row>
    <row r="34" spans="1:10" ht="90">
      <c r="A34" s="4">
        <v>32</v>
      </c>
      <c r="B34" s="19" t="s">
        <v>50</v>
      </c>
      <c r="C34" s="20" t="s">
        <v>44</v>
      </c>
      <c r="D34" s="7" t="s">
        <v>10</v>
      </c>
      <c r="E34" s="57" t="s">
        <v>146</v>
      </c>
      <c r="F34" s="7" t="s">
        <v>98</v>
      </c>
      <c r="G34" s="22">
        <v>2000</v>
      </c>
      <c r="H34" s="13">
        <v>30</v>
      </c>
      <c r="I34" s="10">
        <f t="shared" si="0"/>
        <v>60000</v>
      </c>
    </row>
    <row r="35" spans="1:10" ht="90">
      <c r="A35" s="4">
        <v>33</v>
      </c>
      <c r="B35" s="19" t="s">
        <v>51</v>
      </c>
      <c r="C35" s="20" t="s">
        <v>52</v>
      </c>
      <c r="D35" s="7" t="s">
        <v>10</v>
      </c>
      <c r="E35" s="57" t="s">
        <v>150</v>
      </c>
      <c r="F35" s="7" t="s">
        <v>148</v>
      </c>
      <c r="G35" s="22">
        <v>10000</v>
      </c>
      <c r="H35" s="13">
        <v>72</v>
      </c>
      <c r="I35" s="10">
        <f t="shared" si="0"/>
        <v>720000</v>
      </c>
      <c r="J35" s="56" t="s">
        <v>149</v>
      </c>
    </row>
    <row r="36" spans="1:10" ht="166.5" customHeight="1">
      <c r="A36" s="4">
        <v>34</v>
      </c>
      <c r="B36" s="19" t="s">
        <v>53</v>
      </c>
      <c r="C36" s="20" t="s">
        <v>52</v>
      </c>
      <c r="D36" s="7" t="s">
        <v>10</v>
      </c>
      <c r="E36" s="57" t="s">
        <v>151</v>
      </c>
      <c r="F36" s="7" t="s">
        <v>148</v>
      </c>
      <c r="G36" s="22">
        <v>12000</v>
      </c>
      <c r="H36" s="13">
        <v>40</v>
      </c>
      <c r="I36" s="10">
        <f t="shared" si="0"/>
        <v>480000</v>
      </c>
      <c r="J36" s="56" t="s">
        <v>154</v>
      </c>
    </row>
    <row r="37" spans="1:10" ht="165">
      <c r="A37" s="4">
        <v>35</v>
      </c>
      <c r="B37" s="19" t="s">
        <v>54</v>
      </c>
      <c r="C37" s="20" t="s">
        <v>52</v>
      </c>
      <c r="D37" s="7" t="s">
        <v>10</v>
      </c>
      <c r="E37" s="57" t="s">
        <v>152</v>
      </c>
      <c r="F37" s="7" t="s">
        <v>148</v>
      </c>
      <c r="G37" s="22">
        <v>14000</v>
      </c>
      <c r="H37" s="13">
        <v>40</v>
      </c>
      <c r="I37" s="10">
        <f t="shared" si="0"/>
        <v>560000</v>
      </c>
      <c r="J37" s="56" t="s">
        <v>153</v>
      </c>
    </row>
    <row r="38" spans="1:10" ht="75">
      <c r="A38" s="4">
        <v>36</v>
      </c>
      <c r="B38" s="19" t="s">
        <v>55</v>
      </c>
      <c r="C38" s="20" t="s">
        <v>52</v>
      </c>
      <c r="D38" s="7" t="s">
        <v>10</v>
      </c>
      <c r="E38" s="57" t="s">
        <v>155</v>
      </c>
      <c r="F38" s="7" t="s">
        <v>98</v>
      </c>
      <c r="G38" s="22">
        <v>20000</v>
      </c>
      <c r="H38" s="13">
        <v>40</v>
      </c>
      <c r="I38" s="10">
        <f t="shared" si="0"/>
        <v>800000</v>
      </c>
      <c r="J38" s="56" t="s">
        <v>156</v>
      </c>
    </row>
    <row r="39" spans="1:10" ht="105">
      <c r="A39" s="4">
        <v>37</v>
      </c>
      <c r="B39" s="19" t="s">
        <v>56</v>
      </c>
      <c r="C39" s="20" t="s">
        <v>52</v>
      </c>
      <c r="D39" s="7" t="s">
        <v>10</v>
      </c>
      <c r="E39" s="57" t="s">
        <v>157</v>
      </c>
      <c r="F39" s="7" t="s">
        <v>148</v>
      </c>
      <c r="G39" s="22">
        <v>17000</v>
      </c>
      <c r="H39" s="13">
        <v>40</v>
      </c>
      <c r="I39" s="10">
        <f t="shared" si="0"/>
        <v>680000</v>
      </c>
      <c r="J39" s="56" t="s">
        <v>158</v>
      </c>
    </row>
    <row r="40" spans="1:10" ht="90">
      <c r="A40" s="4">
        <v>38</v>
      </c>
      <c r="B40" s="19" t="s">
        <v>57</v>
      </c>
      <c r="C40" s="20" t="s">
        <v>52</v>
      </c>
      <c r="D40" s="7" t="s">
        <v>10</v>
      </c>
      <c r="E40" s="57" t="s">
        <v>159</v>
      </c>
      <c r="F40" s="7" t="s">
        <v>148</v>
      </c>
      <c r="G40" s="22">
        <v>12000</v>
      </c>
      <c r="H40" s="13">
        <v>40</v>
      </c>
      <c r="I40" s="10">
        <f t="shared" si="0"/>
        <v>480000</v>
      </c>
      <c r="J40" s="56" t="s">
        <v>160</v>
      </c>
    </row>
    <row r="41" spans="1:10" ht="180">
      <c r="A41" s="4">
        <v>39</v>
      </c>
      <c r="B41" s="19" t="s">
        <v>58</v>
      </c>
      <c r="C41" s="20" t="s">
        <v>52</v>
      </c>
      <c r="D41" s="7" t="s">
        <v>10</v>
      </c>
      <c r="E41" s="57" t="s">
        <v>161</v>
      </c>
      <c r="F41" s="7" t="s">
        <v>148</v>
      </c>
      <c r="G41" s="22">
        <v>20000</v>
      </c>
      <c r="H41" s="13">
        <v>40</v>
      </c>
      <c r="I41" s="10">
        <f t="shared" si="0"/>
        <v>800000</v>
      </c>
      <c r="J41" s="56" t="s">
        <v>160</v>
      </c>
    </row>
    <row r="42" spans="1:10" ht="165">
      <c r="A42" s="4">
        <v>40</v>
      </c>
      <c r="B42" s="19" t="s">
        <v>59</v>
      </c>
      <c r="C42" s="20" t="s">
        <v>52</v>
      </c>
      <c r="D42" s="7" t="s">
        <v>10</v>
      </c>
      <c r="E42" s="57" t="s">
        <v>162</v>
      </c>
      <c r="F42" s="7" t="s">
        <v>148</v>
      </c>
      <c r="G42" s="22">
        <v>17000</v>
      </c>
      <c r="H42" s="13">
        <v>144</v>
      </c>
      <c r="I42" s="10">
        <f t="shared" si="0"/>
        <v>2448000</v>
      </c>
      <c r="J42" s="56" t="s">
        <v>160</v>
      </c>
    </row>
    <row r="43" spans="1:10" ht="135">
      <c r="A43" s="4">
        <v>41</v>
      </c>
      <c r="B43" s="19" t="s">
        <v>60</v>
      </c>
      <c r="C43" s="20" t="s">
        <v>9</v>
      </c>
      <c r="D43" s="7" t="s">
        <v>10</v>
      </c>
      <c r="E43" s="57" t="s">
        <v>163</v>
      </c>
      <c r="F43" s="7" t="s">
        <v>164</v>
      </c>
      <c r="G43" s="22">
        <v>350000</v>
      </c>
      <c r="H43" s="13">
        <v>5</v>
      </c>
      <c r="I43" s="10">
        <f t="shared" si="0"/>
        <v>1750000</v>
      </c>
      <c r="J43" s="56" t="s">
        <v>165</v>
      </c>
    </row>
    <row r="44" spans="1:10" ht="135">
      <c r="A44" s="4">
        <v>42</v>
      </c>
      <c r="B44" s="26" t="s">
        <v>61</v>
      </c>
      <c r="C44" s="27" t="s">
        <v>9</v>
      </c>
      <c r="D44" s="28" t="s">
        <v>10</v>
      </c>
      <c r="E44" s="60" t="s">
        <v>166</v>
      </c>
      <c r="F44" s="28" t="s">
        <v>98</v>
      </c>
      <c r="G44" s="29">
        <v>2000</v>
      </c>
      <c r="H44" s="30">
        <v>20</v>
      </c>
      <c r="I44" s="10">
        <f t="shared" si="0"/>
        <v>40000</v>
      </c>
      <c r="J44" s="56" t="s">
        <v>168</v>
      </c>
    </row>
    <row r="45" spans="1:10" ht="135">
      <c r="A45" s="4">
        <v>43</v>
      </c>
      <c r="B45" s="26" t="s">
        <v>62</v>
      </c>
      <c r="C45" s="27" t="s">
        <v>9</v>
      </c>
      <c r="D45" s="28" t="s">
        <v>10</v>
      </c>
      <c r="E45" s="60" t="s">
        <v>167</v>
      </c>
      <c r="F45" s="28" t="s">
        <v>98</v>
      </c>
      <c r="G45" s="29">
        <v>2000</v>
      </c>
      <c r="H45" s="30">
        <v>20</v>
      </c>
      <c r="I45" s="10">
        <f t="shared" si="0"/>
        <v>40000</v>
      </c>
      <c r="J45" s="56" t="s">
        <v>168</v>
      </c>
    </row>
    <row r="46" spans="1:10" ht="30">
      <c r="A46" s="4">
        <v>44</v>
      </c>
      <c r="B46" s="26" t="s">
        <v>63</v>
      </c>
      <c r="C46" s="27" t="s">
        <v>9</v>
      </c>
      <c r="D46" s="28" t="s">
        <v>10</v>
      </c>
      <c r="E46" s="60" t="s">
        <v>169</v>
      </c>
      <c r="F46" s="28" t="s">
        <v>98</v>
      </c>
      <c r="G46" s="29">
        <v>2000</v>
      </c>
      <c r="H46" s="30">
        <v>20</v>
      </c>
      <c r="I46" s="10">
        <f t="shared" si="0"/>
        <v>40000</v>
      </c>
      <c r="J46" s="56" t="s">
        <v>170</v>
      </c>
    </row>
    <row r="47" spans="1:10" ht="30">
      <c r="A47" s="4">
        <v>45</v>
      </c>
      <c r="B47" s="19" t="s">
        <v>64</v>
      </c>
      <c r="C47" s="20" t="s">
        <v>9</v>
      </c>
      <c r="D47" s="7" t="s">
        <v>10</v>
      </c>
      <c r="E47" s="57" t="s">
        <v>172</v>
      </c>
      <c r="F47" s="7" t="s">
        <v>98</v>
      </c>
      <c r="G47" s="22">
        <v>44000</v>
      </c>
      <c r="H47" s="13">
        <v>20</v>
      </c>
      <c r="I47" s="10">
        <f t="shared" si="0"/>
        <v>880000</v>
      </c>
      <c r="J47" s="56" t="s">
        <v>171</v>
      </c>
    </row>
    <row r="48" spans="1:10" ht="30">
      <c r="A48" s="4">
        <v>46</v>
      </c>
      <c r="B48" s="19" t="s">
        <v>65</v>
      </c>
      <c r="C48" s="20" t="s">
        <v>66</v>
      </c>
      <c r="D48" s="7" t="s">
        <v>10</v>
      </c>
      <c r="E48" s="57" t="s">
        <v>174</v>
      </c>
      <c r="F48" s="7" t="s">
        <v>98</v>
      </c>
      <c r="G48" s="22">
        <v>40000</v>
      </c>
      <c r="H48" s="13">
        <v>20</v>
      </c>
      <c r="I48" s="10">
        <f t="shared" si="0"/>
        <v>800000</v>
      </c>
      <c r="J48" s="56" t="s">
        <v>173</v>
      </c>
    </row>
    <row r="49" spans="1:10" ht="165">
      <c r="A49" s="4">
        <v>47</v>
      </c>
      <c r="B49" s="19" t="s">
        <v>67</v>
      </c>
      <c r="C49" s="20" t="s">
        <v>9</v>
      </c>
      <c r="D49" s="7" t="s">
        <v>10</v>
      </c>
      <c r="E49" s="57" t="s">
        <v>176</v>
      </c>
      <c r="F49" s="7" t="s">
        <v>98</v>
      </c>
      <c r="G49" s="22">
        <v>40000</v>
      </c>
      <c r="H49" s="13">
        <v>40</v>
      </c>
      <c r="I49" s="10">
        <f t="shared" si="0"/>
        <v>1600000</v>
      </c>
      <c r="J49" s="56" t="s">
        <v>175</v>
      </c>
    </row>
    <row r="50" spans="1:10" ht="60">
      <c r="A50" s="4">
        <v>48</v>
      </c>
      <c r="B50" s="19" t="s">
        <v>68</v>
      </c>
      <c r="C50" s="20" t="s">
        <v>30</v>
      </c>
      <c r="D50" s="7" t="s">
        <v>10</v>
      </c>
      <c r="E50" s="57" t="s">
        <v>177</v>
      </c>
      <c r="F50" s="7" t="s">
        <v>98</v>
      </c>
      <c r="G50" s="31">
        <v>850000</v>
      </c>
      <c r="H50" s="13">
        <v>4</v>
      </c>
      <c r="I50" s="10">
        <f t="shared" si="0"/>
        <v>3400000</v>
      </c>
      <c r="J50" s="56" t="s">
        <v>178</v>
      </c>
    </row>
    <row r="51" spans="1:10" ht="105">
      <c r="A51" s="4">
        <v>49</v>
      </c>
      <c r="B51" s="19" t="s">
        <v>69</v>
      </c>
      <c r="C51" s="20" t="s">
        <v>9</v>
      </c>
      <c r="D51" s="7" t="s">
        <v>10</v>
      </c>
      <c r="E51" s="57" t="s">
        <v>179</v>
      </c>
      <c r="F51" s="7" t="s">
        <v>98</v>
      </c>
      <c r="G51" s="32">
        <v>80000</v>
      </c>
      <c r="H51" s="13">
        <v>80</v>
      </c>
      <c r="I51" s="10">
        <f t="shared" si="0"/>
        <v>6400000</v>
      </c>
      <c r="J51" s="56" t="s">
        <v>180</v>
      </c>
    </row>
    <row r="52" spans="1:10" ht="105">
      <c r="A52" s="4">
        <v>50</v>
      </c>
      <c r="B52" s="19" t="s">
        <v>70</v>
      </c>
      <c r="C52" s="20" t="s">
        <v>9</v>
      </c>
      <c r="D52" s="7" t="s">
        <v>10</v>
      </c>
      <c r="E52" s="57" t="s">
        <v>181</v>
      </c>
      <c r="F52" s="7" t="s">
        <v>98</v>
      </c>
      <c r="G52" s="32">
        <v>20000</v>
      </c>
      <c r="H52" s="13">
        <v>80</v>
      </c>
      <c r="I52" s="10">
        <f t="shared" si="0"/>
        <v>1600000</v>
      </c>
      <c r="J52" s="56" t="s">
        <v>182</v>
      </c>
    </row>
    <row r="53" spans="1:10" ht="45">
      <c r="A53" s="4">
        <v>51</v>
      </c>
      <c r="B53" s="19" t="s">
        <v>71</v>
      </c>
      <c r="C53" s="20" t="s">
        <v>9</v>
      </c>
      <c r="D53" s="7" t="s">
        <v>10</v>
      </c>
      <c r="E53" s="57" t="s">
        <v>184</v>
      </c>
      <c r="F53" s="7" t="s">
        <v>98</v>
      </c>
      <c r="G53" s="22">
        <v>20000</v>
      </c>
      <c r="H53" s="24">
        <v>40</v>
      </c>
      <c r="I53" s="10">
        <f t="shared" si="0"/>
        <v>800000</v>
      </c>
      <c r="J53" s="56" t="s">
        <v>183</v>
      </c>
    </row>
    <row r="54" spans="1:10" ht="90">
      <c r="A54" s="4">
        <v>52</v>
      </c>
      <c r="B54" s="19" t="s">
        <v>72</v>
      </c>
      <c r="C54" s="20" t="s">
        <v>44</v>
      </c>
      <c r="D54" s="7" t="s">
        <v>10</v>
      </c>
      <c r="E54" s="57" t="s">
        <v>203</v>
      </c>
      <c r="F54" s="7" t="s">
        <v>98</v>
      </c>
      <c r="G54" s="22">
        <v>20000</v>
      </c>
      <c r="H54" s="24">
        <v>40</v>
      </c>
      <c r="I54" s="10">
        <f t="shared" si="0"/>
        <v>800000</v>
      </c>
      <c r="J54" s="56" t="s">
        <v>204</v>
      </c>
    </row>
    <row r="55" spans="1:10" ht="90">
      <c r="A55" s="4">
        <v>53</v>
      </c>
      <c r="B55" s="19" t="s">
        <v>73</v>
      </c>
      <c r="C55" s="20" t="s">
        <v>44</v>
      </c>
      <c r="D55" s="7" t="s">
        <v>10</v>
      </c>
      <c r="E55" s="57" t="s">
        <v>206</v>
      </c>
      <c r="F55" s="7" t="s">
        <v>98</v>
      </c>
      <c r="G55" s="22">
        <v>15000</v>
      </c>
      <c r="H55" s="24">
        <v>40</v>
      </c>
      <c r="I55" s="10">
        <f t="shared" si="0"/>
        <v>600000</v>
      </c>
      <c r="J55" s="56" t="s">
        <v>205</v>
      </c>
    </row>
    <row r="56" spans="1:10" ht="105">
      <c r="A56" s="4">
        <v>54</v>
      </c>
      <c r="B56" s="19" t="s">
        <v>74</v>
      </c>
      <c r="C56" s="20" t="s">
        <v>44</v>
      </c>
      <c r="D56" s="7" t="s">
        <v>75</v>
      </c>
      <c r="E56" s="57" t="s">
        <v>207</v>
      </c>
      <c r="F56" s="7" t="s">
        <v>98</v>
      </c>
      <c r="G56" s="22">
        <v>20000</v>
      </c>
      <c r="H56" s="24">
        <v>40</v>
      </c>
      <c r="I56" s="10">
        <f t="shared" si="0"/>
        <v>800000</v>
      </c>
      <c r="J56" s="56" t="s">
        <v>208</v>
      </c>
    </row>
    <row r="57" spans="1:10" ht="150">
      <c r="A57" s="4">
        <v>55</v>
      </c>
      <c r="B57" s="19" t="s">
        <v>76</v>
      </c>
      <c r="C57" s="20" t="s">
        <v>44</v>
      </c>
      <c r="D57" s="7" t="s">
        <v>10</v>
      </c>
      <c r="E57" s="57" t="s">
        <v>209</v>
      </c>
      <c r="F57" s="7" t="s">
        <v>98</v>
      </c>
      <c r="G57" s="22">
        <v>3000</v>
      </c>
      <c r="H57" s="13">
        <v>30</v>
      </c>
      <c r="I57" s="10">
        <f t="shared" si="0"/>
        <v>90000</v>
      </c>
      <c r="J57" s="56" t="s">
        <v>210</v>
      </c>
    </row>
    <row r="58" spans="1:10">
      <c r="A58" s="4">
        <v>56</v>
      </c>
      <c r="B58" s="14" t="s">
        <v>77</v>
      </c>
      <c r="C58" s="33" t="s">
        <v>78</v>
      </c>
      <c r="D58" s="7" t="s">
        <v>10</v>
      </c>
      <c r="E58" s="57"/>
      <c r="F58" s="7" t="s">
        <v>98</v>
      </c>
      <c r="G58" s="22">
        <v>50000</v>
      </c>
      <c r="H58" s="13">
        <v>2</v>
      </c>
      <c r="I58" s="10">
        <f t="shared" si="0"/>
        <v>100000</v>
      </c>
      <c r="J58" s="56" t="s">
        <v>185</v>
      </c>
    </row>
    <row r="59" spans="1:10">
      <c r="A59" s="4">
        <v>57</v>
      </c>
      <c r="B59" s="23" t="s">
        <v>79</v>
      </c>
      <c r="C59" s="33" t="s">
        <v>78</v>
      </c>
      <c r="D59" s="7" t="s">
        <v>10</v>
      </c>
      <c r="E59" s="57"/>
      <c r="F59" s="7" t="s">
        <v>186</v>
      </c>
      <c r="G59" s="22">
        <v>85000</v>
      </c>
      <c r="H59" s="13">
        <v>2</v>
      </c>
      <c r="I59" s="10">
        <f t="shared" si="0"/>
        <v>170000</v>
      </c>
      <c r="J59" s="56" t="s">
        <v>187</v>
      </c>
    </row>
    <row r="60" spans="1:10" ht="90">
      <c r="A60" s="4">
        <v>58</v>
      </c>
      <c r="B60" s="23" t="s">
        <v>80</v>
      </c>
      <c r="C60" s="20" t="s">
        <v>52</v>
      </c>
      <c r="D60" s="7" t="s">
        <v>10</v>
      </c>
      <c r="E60" s="57" t="s">
        <v>189</v>
      </c>
      <c r="F60" s="7" t="s">
        <v>98</v>
      </c>
      <c r="G60" s="22">
        <v>2000</v>
      </c>
      <c r="H60" s="13">
        <v>180</v>
      </c>
      <c r="I60" s="10">
        <f t="shared" si="0"/>
        <v>360000</v>
      </c>
      <c r="J60" s="56" t="s">
        <v>188</v>
      </c>
    </row>
    <row r="61" spans="1:10" ht="180">
      <c r="A61" s="4">
        <v>59</v>
      </c>
      <c r="B61" s="23" t="s">
        <v>81</v>
      </c>
      <c r="C61" s="20" t="s">
        <v>52</v>
      </c>
      <c r="D61" s="7" t="s">
        <v>10</v>
      </c>
      <c r="E61" s="57" t="s">
        <v>191</v>
      </c>
      <c r="F61" s="7" t="s">
        <v>98</v>
      </c>
      <c r="G61" s="22">
        <v>2000</v>
      </c>
      <c r="H61" s="13">
        <v>50</v>
      </c>
      <c r="I61" s="10">
        <f t="shared" si="0"/>
        <v>100000</v>
      </c>
      <c r="J61" s="56" t="s">
        <v>190</v>
      </c>
    </row>
    <row r="62" spans="1:10" ht="180">
      <c r="A62" s="4">
        <v>60</v>
      </c>
      <c r="B62" s="23" t="s">
        <v>82</v>
      </c>
      <c r="C62" s="20" t="s">
        <v>52</v>
      </c>
      <c r="D62" s="7" t="s">
        <v>10</v>
      </c>
      <c r="E62" s="57" t="s">
        <v>191</v>
      </c>
      <c r="F62" s="7" t="s">
        <v>98</v>
      </c>
      <c r="G62" s="22">
        <v>2000</v>
      </c>
      <c r="H62" s="13">
        <v>50</v>
      </c>
      <c r="I62" s="10">
        <f t="shared" si="0"/>
        <v>100000</v>
      </c>
      <c r="J62" s="56" t="s">
        <v>192</v>
      </c>
    </row>
    <row r="63" spans="1:10" ht="75">
      <c r="A63" s="4">
        <v>61</v>
      </c>
      <c r="B63" s="34" t="s">
        <v>83</v>
      </c>
      <c r="C63" s="35" t="s">
        <v>12</v>
      </c>
      <c r="D63" s="7" t="s">
        <v>75</v>
      </c>
      <c r="E63" s="57" t="s">
        <v>198</v>
      </c>
      <c r="F63" s="7" t="s">
        <v>98</v>
      </c>
      <c r="G63" s="22">
        <v>62000</v>
      </c>
      <c r="H63" s="13">
        <v>17</v>
      </c>
      <c r="I63" s="10">
        <f t="shared" si="0"/>
        <v>1054000</v>
      </c>
      <c r="J63" s="56" t="s">
        <v>193</v>
      </c>
    </row>
    <row r="64" spans="1:10" ht="105">
      <c r="A64" s="4">
        <v>62</v>
      </c>
      <c r="B64" s="36" t="s">
        <v>84</v>
      </c>
      <c r="C64" s="35" t="s">
        <v>12</v>
      </c>
      <c r="D64" s="7" t="s">
        <v>75</v>
      </c>
      <c r="E64" s="57" t="s">
        <v>194</v>
      </c>
      <c r="F64" s="7" t="s">
        <v>98</v>
      </c>
      <c r="G64" s="22">
        <v>90000</v>
      </c>
      <c r="H64" s="13">
        <v>17</v>
      </c>
      <c r="I64" s="10">
        <f t="shared" si="0"/>
        <v>1530000</v>
      </c>
      <c r="J64" s="56" t="s">
        <v>195</v>
      </c>
    </row>
    <row r="65" spans="1:10" ht="75">
      <c r="A65" s="4">
        <v>63</v>
      </c>
      <c r="B65" s="36" t="s">
        <v>85</v>
      </c>
      <c r="C65" s="35" t="s">
        <v>12</v>
      </c>
      <c r="D65" s="7" t="s">
        <v>75</v>
      </c>
      <c r="E65" s="57" t="s">
        <v>196</v>
      </c>
      <c r="F65" s="7" t="s">
        <v>98</v>
      </c>
      <c r="G65" s="22">
        <v>103500</v>
      </c>
      <c r="H65" s="13">
        <v>17</v>
      </c>
      <c r="I65" s="10">
        <f t="shared" si="0"/>
        <v>1759500</v>
      </c>
      <c r="J65" s="56" t="s">
        <v>197</v>
      </c>
    </row>
    <row r="66" spans="1:10" ht="75">
      <c r="A66" s="4">
        <v>64</v>
      </c>
      <c r="B66" s="37" t="s">
        <v>86</v>
      </c>
      <c r="C66" s="35" t="s">
        <v>9</v>
      </c>
      <c r="D66" s="7" t="s">
        <v>10</v>
      </c>
      <c r="E66" s="57" t="s">
        <v>199</v>
      </c>
      <c r="F66" s="7" t="s">
        <v>98</v>
      </c>
      <c r="G66" s="22">
        <v>25000</v>
      </c>
      <c r="H66" s="13">
        <v>5</v>
      </c>
      <c r="I66" s="10">
        <f t="shared" si="0"/>
        <v>125000</v>
      </c>
      <c r="J66" s="56" t="s">
        <v>200</v>
      </c>
    </row>
    <row r="67" spans="1:10" ht="75">
      <c r="A67" s="4">
        <v>65</v>
      </c>
      <c r="B67" s="37" t="s">
        <v>87</v>
      </c>
      <c r="C67" s="35" t="s">
        <v>88</v>
      </c>
      <c r="D67" s="7" t="s">
        <v>10</v>
      </c>
      <c r="E67" s="57" t="s">
        <v>201</v>
      </c>
      <c r="F67" s="7" t="s">
        <v>98</v>
      </c>
      <c r="G67" s="8">
        <v>30000</v>
      </c>
      <c r="H67" s="13">
        <v>5</v>
      </c>
      <c r="I67" s="10">
        <f t="shared" si="0"/>
        <v>150000</v>
      </c>
      <c r="J67" s="56" t="s">
        <v>202</v>
      </c>
    </row>
    <row r="68" spans="1:10" ht="30">
      <c r="A68" s="4">
        <v>66</v>
      </c>
      <c r="B68" s="38" t="s">
        <v>89</v>
      </c>
      <c r="C68" s="39" t="s">
        <v>38</v>
      </c>
      <c r="D68" s="7" t="s">
        <v>10</v>
      </c>
      <c r="E68" s="57"/>
      <c r="F68" s="7" t="s">
        <v>98</v>
      </c>
      <c r="G68" s="22">
        <v>50000</v>
      </c>
      <c r="H68" s="13">
        <v>3</v>
      </c>
      <c r="I68" s="10">
        <f t="shared" ref="I68:I70" si="1">G68*H68</f>
        <v>150000</v>
      </c>
    </row>
    <row r="69" spans="1:10">
      <c r="A69" s="4">
        <v>67</v>
      </c>
      <c r="B69" s="38" t="s">
        <v>90</v>
      </c>
      <c r="C69" s="39" t="s">
        <v>38</v>
      </c>
      <c r="D69" s="7" t="s">
        <v>10</v>
      </c>
      <c r="E69" s="57"/>
      <c r="F69" s="7" t="s">
        <v>98</v>
      </c>
      <c r="G69" s="22">
        <v>70000</v>
      </c>
      <c r="H69" s="13">
        <v>3</v>
      </c>
      <c r="I69" s="10">
        <f t="shared" si="1"/>
        <v>210000</v>
      </c>
    </row>
    <row r="70" spans="1:10" ht="30">
      <c r="A70" s="4">
        <v>68</v>
      </c>
      <c r="B70" s="40" t="s">
        <v>91</v>
      </c>
      <c r="C70" s="41" t="s">
        <v>38</v>
      </c>
      <c r="D70" s="7" t="s">
        <v>10</v>
      </c>
      <c r="E70" s="57"/>
      <c r="F70" s="7" t="s">
        <v>98</v>
      </c>
      <c r="G70" s="22">
        <v>400000</v>
      </c>
      <c r="H70" s="13">
        <v>3</v>
      </c>
      <c r="I70" s="10">
        <f t="shared" si="1"/>
        <v>1200000</v>
      </c>
    </row>
    <row r="71" spans="1:10">
      <c r="A71" s="62" t="s">
        <v>92</v>
      </c>
      <c r="B71" s="63"/>
      <c r="C71" s="42"/>
      <c r="D71" s="42"/>
      <c r="E71" s="67"/>
      <c r="F71" s="42"/>
      <c r="G71" s="43"/>
      <c r="H71" s="44"/>
      <c r="I71" s="45">
        <f>SUM(I3:I70)</f>
        <v>80271500</v>
      </c>
    </row>
    <row r="72" spans="1:10">
      <c r="A72" s="64" t="s">
        <v>93</v>
      </c>
      <c r="B72" s="64"/>
      <c r="C72" s="46"/>
      <c r="D72" s="46"/>
      <c r="E72" s="68"/>
      <c r="F72" s="46"/>
      <c r="G72" s="47"/>
      <c r="H72" s="48"/>
      <c r="I72" s="49">
        <f>I71*8/100</f>
        <v>6421720</v>
      </c>
    </row>
    <row r="73" spans="1:10" ht="15.75">
      <c r="A73" s="50"/>
      <c r="B73" s="51" t="s">
        <v>94</v>
      </c>
      <c r="C73" s="52"/>
      <c r="D73" s="52"/>
      <c r="E73" s="69"/>
      <c r="F73" s="52"/>
      <c r="G73" s="53"/>
      <c r="H73" s="54"/>
      <c r="I73" s="53">
        <f>SUM(I71:I72)</f>
        <v>86693220</v>
      </c>
    </row>
  </sheetData>
  <mergeCells count="3">
    <mergeCell ref="A2:I2"/>
    <mergeCell ref="A71:B71"/>
    <mergeCell ref="A72:B72"/>
  </mergeCells>
  <conditionalFormatting sqref="B4">
    <cfRule type="duplicateValues" dxfId="5" priority="4" stopIfTrue="1"/>
    <cfRule type="duplicateValues" dxfId="4" priority="5" stopIfTrue="1"/>
  </conditionalFormatting>
  <conditionalFormatting sqref="B5">
    <cfRule type="duplicateValues" dxfId="3" priority="2" stopIfTrue="1"/>
    <cfRule type="duplicateValues" dxfId="2" priority="3" stopIfTrue="1"/>
  </conditionalFormatting>
  <conditionalFormatting sqref="B70">
    <cfRule type="duplicateValues" dxfId="1" priority="1" stopIfTrue="1"/>
  </conditionalFormatting>
  <conditionalFormatting sqref="B23:B27">
    <cfRule type="duplicateValues" dxfId="0" priority="6" stopIfTrue="1"/>
  </conditionalFormatting>
  <hyperlinks>
    <hyperlink ref="J8" r:id="rId1"/>
    <hyperlink ref="J9" r:id="rId2"/>
    <hyperlink ref="J10" r:id="rId3"/>
    <hyperlink ref="J12" r:id="rId4"/>
    <hyperlink ref="J11" r:id="rId5"/>
    <hyperlink ref="J13" r:id="rId6"/>
    <hyperlink ref="J14" r:id="rId7"/>
    <hyperlink ref="J15" r:id="rId8"/>
    <hyperlink ref="J16" r:id="rId9"/>
    <hyperlink ref="J17" r:id="rId10"/>
    <hyperlink ref="J18" r:id="rId11"/>
    <hyperlink ref="J20" r:id="rId12"/>
    <hyperlink ref="J22" r:id="rId13"/>
    <hyperlink ref="J23" r:id="rId14"/>
    <hyperlink ref="J24" display="https://shopee.vn/D%C3%A2y-%C4%91%E1%BB%93ng-ch%E1%BB%8Bu-nhi%E1%BB%87t-220-%C4%91%E1%BB%99-h%C3%A3ng-KCT-0.5kg-D%C3%A2y-%C4%91i%E1%BB%87n-t%E1%BB%AB-220-%C4%91%E1%BB%99-D%C3%A2y-%C4%91%E1%BB%93ng-cu%E1%BB%91n-%C4%91%E1%BB%99ng-c%C6%A1-i.152727804.2156066"/>
    <hyperlink ref="J25" display="https://shopee.vn/D%C3%A2y-%C4%91%E1%BB%93ng-ch%E1%BB%8Bu-nhi%E1%BB%87t-220-%C4%91%E1%BB%99-h%C3%A3ng-KCT-0.5kg-D%C3%A2y-%C4%91i%E1%BB%87n-t%E1%BB%AB-220-%C4%91%E1%BB%99-D%C3%A2y-%C4%91%E1%BB%93ng-cu%E1%BB%91n-%C4%91%E1%BB%99ng-c%C6%A1-i.152727804.2156066"/>
    <hyperlink ref="J26" r:id="rId15"/>
    <hyperlink ref="J28" r:id="rId16"/>
    <hyperlink ref="J29" r:id="rId17"/>
    <hyperlink ref="J30" r:id="rId18"/>
    <hyperlink ref="J31" r:id="rId19"/>
    <hyperlink ref="J32" r:id="rId20"/>
    <hyperlink ref="J35" r:id="rId21"/>
    <hyperlink ref="J37" r:id="rId22"/>
    <hyperlink ref="J36" r:id="rId23"/>
    <hyperlink ref="J38" r:id="rId24"/>
    <hyperlink ref="J39" r:id="rId25"/>
    <hyperlink ref="J40" r:id="rId26"/>
    <hyperlink ref="J41" r:id="rId27"/>
    <hyperlink ref="J42" r:id="rId28"/>
    <hyperlink ref="J43" r:id="rId29"/>
    <hyperlink ref="J44" r:id="rId30"/>
    <hyperlink ref="J45" r:id="rId31"/>
    <hyperlink ref="J46" r:id="rId32"/>
    <hyperlink ref="J47" r:id="rId33"/>
    <hyperlink ref="J48" r:id="rId34"/>
    <hyperlink ref="J49" r:id="rId35"/>
    <hyperlink ref="J50" r:id="rId36"/>
    <hyperlink ref="J51" r:id="rId37"/>
    <hyperlink ref="J52" r:id="rId38"/>
    <hyperlink ref="J53" r:id="rId39"/>
    <hyperlink ref="J58" r:id="rId40"/>
    <hyperlink ref="J59" r:id="rId41"/>
    <hyperlink ref="J60" r:id="rId42"/>
    <hyperlink ref="J61" r:id="rId43"/>
    <hyperlink ref="J62" r:id="rId44"/>
    <hyperlink ref="J63" r:id="rId45"/>
    <hyperlink ref="J64" r:id="rId46"/>
    <hyperlink ref="J65" r:id="rId47"/>
    <hyperlink ref="J66" r:id="rId48"/>
    <hyperlink ref="J67" r:id="rId49"/>
    <hyperlink ref="J54" r:id="rId50"/>
    <hyperlink ref="J55" r:id="rId51"/>
    <hyperlink ref="J56" r:id="rId52"/>
    <hyperlink ref="J57" r:id="rId53"/>
    <hyperlink ref="J21" r:id="rId54"/>
    <hyperlink ref="J27" r:id="rId55"/>
  </hyperlinks>
  <pageMargins left="0.7" right="0.7" top="0.75" bottom="0.75" header="0.3" footer="0.3"/>
  <pageSetup orientation="portrait" r:id="rId5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OPT 3020</dc:creator>
  <cp:lastModifiedBy>Dell OPT 3020</cp:lastModifiedBy>
  <dcterms:created xsi:type="dcterms:W3CDTF">2026-01-15T06:09:41Z</dcterms:created>
  <dcterms:modified xsi:type="dcterms:W3CDTF">2026-01-15T13:45:29Z</dcterms:modified>
</cp:coreProperties>
</file>